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253b9bc9c4d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9020a564964663"/>
    <x:sheet xmlns:r="http://schemas.openxmlformats.org/officeDocument/2006/relationships" name="Assumptions" sheetId="2" r:id="Rc9d00555e4774059"/>
    <x:sheet xmlns:r="http://schemas.openxmlformats.org/officeDocument/2006/relationships" name="Revenue model" sheetId="3" r:id="R6cd5029fa1ce42aa"/>
    <x:sheet xmlns:r="http://schemas.openxmlformats.org/officeDocument/2006/relationships" name="P&amp;L" sheetId="4" r:id="R916e0717eab247a8"/>
    <x:sheet xmlns:r="http://schemas.openxmlformats.org/officeDocument/2006/relationships" name="Market sizing" sheetId="5" r:id="Rc7222ea49f0243d2"/>
    <x:sheet xmlns:r="http://schemas.openxmlformats.org/officeDocument/2006/relationships" name="Evidence" sheetId="6" r:id="R975c1410d727464f"/>
    <x:sheet xmlns:r="http://schemas.openxmlformats.org/officeDocument/2006/relationships" name="Review" sheetId="7" r:id="R168d2e14a76e4d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0">
    <x:numFmt numFmtId="200" formatCode="#,##0;(#,##0);&quot;-&quot;"/>
    <x:numFmt numFmtId="201" formatCode="0.00%"/>
    <x:numFmt numFmtId="202" formatCode="0.0%;(0.0%);&quot;-&quot;"/>
    <x:numFmt numFmtId="203" formatCode="mmm yyyy"/>
    <x:numFmt numFmtId="204" formatCode="$#,##0;($#,##0);&quot;-&quot;"/>
    <x:numFmt numFmtId="205" formatCode="0.0"/>
    <x:numFmt numFmtId="206" formatCode="0%"/>
    <x:numFmt numFmtId="207" formatCode="0"/>
    <x:numFmt numFmtId="208" formatCode="0.0%"/>
    <x:numFmt numFmtId="209" formatCode="#,##0.0;(#,##0.0);&quot;-&quot;"/>
    <x:numFmt numFmtId="210" formatCode="#,##0.0"/>
    <x:numFmt numFmtId="211" formatCode="$#,##0.00"/>
    <x:numFmt numFmtId="212" formatCode="0.00;(0.00);0.00"/>
    <x:numFmt numFmtId="213" formatCode="#,##0;(#,##0);0"/>
    <x:numFmt numFmtId="214" formatCode="$0.00"/>
    <x:numFmt numFmtId="215" formatCode="$0.00,,,&quot;B&quot;;($0.00,,,&quot;B&quot;);&quot;-&quot;"/>
    <x:numFmt numFmtId="216" formatCode="0.00&quot;x&quot;"/>
    <x:numFmt numFmtId="217" formatCode="0.00"/>
    <x:numFmt numFmtId="218" formatCode="$#,##0;($#,##0);$0"/>
    <x:numFmt numFmtId="219" formatCode="$0.0,,&quot;M&quot;;($0.0,,&quot;M&quot;);&quot;-&quot;"/>
  </x:numFmts>
  <x:fonts count="19">
    <x:font>
      <x:sz val="11"/>
      <x:name val="Carlito"/>
    </x:font>
    <x:font>
      <x:sz val="11"/>
      <x:color rgb="FF17212B"/>
      <x:name val="Arial"/>
    </x:font>
    <x:font>
      <x:b/>
      <x:sz val="16"/>
      <x:color rgb="FF17212B"/>
      <x:name val="Arial"/>
    </x:font>
    <x:font>
      <x:b/>
      <x:sz val="11"/>
      <x:color rgb="FF17212B"/>
      <x:name val="Arial"/>
    </x:font>
    <x:font>
      <x:i/>
      <x:sz val="11"/>
      <x:color rgb="FF596675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b/>
      <x:sz val="11"/>
      <x:color rgb="FF0000FF"/>
      <x:name val="Arial"/>
    </x:font>
    <x:font>
      <x:sz val="11"/>
      <x:color rgb="FF008040"/>
      <x:name val="Arial"/>
    </x:font>
    <x:font>
      <x:i/>
      <x:sz val="11"/>
      <x:color rgb="FF17212B"/>
      <x:name val="Arial"/>
    </x:font>
    <x:font>
      <x:i/>
      <x:sz val="11"/>
      <x:color rgb="FF0000FF"/>
      <x:name val="Arial"/>
    </x:font>
    <x:font>
      <x:b/>
      <x:sz val="11"/>
      <x:color rgb="FF008040"/>
      <x:name val="Arial"/>
    </x:font>
    <x:font>
      <x:b/>
      <x:sz val="11"/>
      <x:color rgb="FF000000"/>
      <x:name val="Arial"/>
    </x:font>
    <x:font>
      <x:sz val="9"/>
      <x:color rgb="FF596675"/>
      <x:name val="Arial"/>
    </x:font>
    <x:font>
      <x:sz val="11"/>
      <x:color rgb="FF000000"/>
      <x:name val="Arial"/>
    </x:font>
    <x:font>
      <x:i/>
      <x:sz val="11"/>
      <x:color rgb="FF000000"/>
      <x:name val="Arial"/>
    </x:font>
    <x:font>
      <x:i/>
      <x:sz val="11"/>
      <x:color rgb="FF008040"/>
      <x:name val="Arial"/>
    </x:font>
    <x:font>
      <x:i/>
      <x:sz val="11"/>
      <x:color rgb="FF596675"/>
      <x:name val="Carlito"/>
    </x:font>
    <x:font>
      <x:sz val="11"/>
      <x:color rgb="FF17212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63747"/>
      </x:patternFill>
    </x:fill>
    <x:fill>
      <x:patternFill patternType="solid">
        <x:fgColor rgb="FFDDEBF7"/>
      </x:patternFill>
    </x:fill>
    <x:fill>
      <x:patternFill patternType="solid">
        <x:fgColor rgb="FFE2EFDA"/>
      </x:patternFill>
    </x:fill>
    <x:fill>
      <x:patternFill patternType="solid">
        <x:fgColor rgb="FFF1F4F6"/>
      </x:patternFill>
    </x:fill>
    <x:fill>
      <x:patternFill patternType="solid">
        <x:fgColor rgb="FFFFF2CC"/>
      </x:patternFill>
    </x:fill>
  </x:fills>
  <x:borders count="3">
    <x:border/>
    <x:border>
      <x:bottom style="thin">
        <x:color rgb="FF17212B"/>
      </x:bottom>
    </x:border>
    <x:border>
      <x:top style="thin">
        <x:color rgb="FFB8C4CE"/>
      </x:top>
    </x:border>
  </x:borders>
  <x:cellStyleXfs count="1">
    <x:xf numFmtId="0" fontId="0" fillId="0" borderId="0"/>
  </x:cellStyleXfs>
  <x:cellXfs count="1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 applyAlignment="1">
      <x:alignment horizontal="left" vertical="center"/>
    </x:xf>
    <x:xf numFmtId="200" fontId="5" fillId="2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5" fillId="2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left" vertical="center"/>
    </x:xf>
    <x:xf numFmtId="200" fontId="6" fillId="3" borderId="0" xfId="0" applyNumberFormat="1" applyFont="1" applyFill="1" applyBorder="1" applyAlignment="1">
      <x:alignment horizontal="left" vertical="center"/>
    </x:xf>
    <x:xf numFmtId="200" fontId="6" fillId="3" borderId="0" xfId="0" applyNumberFormat="1" applyFont="1" applyFill="1" applyBorder="1" applyAlignment="1">
      <x:alignment horizontal="right" vertical="center"/>
    </x:xf>
    <x:xf numFmtId="201" fontId="6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left" vertical="center"/>
    </x:xf>
    <x:xf numFmtId="200" fontId="1" fillId="4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200" fontId="3" fillId="4" borderId="0" xfId="0" applyNumberFormat="1" applyFont="1" applyFill="1" applyBorder="1" applyAlignment="1">
      <x:alignment horizontal="left" vertical="center"/>
    </x:xf>
    <x:xf numFmtId="200" fontId="1" fillId="5" borderId="0" xfId="0" applyNumberFormat="1" applyFont="1" applyFill="1" applyBorder="1" applyAlignment="1">
      <x:alignment horizontal="left" vertical="center" wrapText="1"/>
    </x:xf>
    <x:xf numFmtId="200" fontId="6" fillId="5" borderId="0" xfId="0" applyNumberFormat="1" applyFont="1" applyFill="1" applyBorder="1" applyAlignment="1">
      <x:alignment horizontal="right" vertical="center"/>
    </x:xf>
    <x:xf numFmtId="200" fontId="3" fillId="5" borderId="0" xfId="0" applyNumberFormat="1" applyFont="1" applyFill="1" applyBorder="1" applyAlignment="1">
      <x:alignment horizontal="left" vertical="center" wrapText="1"/>
    </x:xf>
    <x:xf numFmtId="200" fontId="7" fillId="5" borderId="0" xfId="0" applyNumberFormat="1" applyFont="1" applyFill="1" applyBorder="1" applyAlignment="1">
      <x:alignment horizontal="right" vertical="center"/>
    </x:xf>
    <x:xf numFmtId="200" fontId="3" fillId="5" borderId="2" xfId="0" applyNumberFormat="1" applyFont="1" applyFill="1" applyBorder="1" applyAlignment="1">
      <x:alignment horizontal="left" vertical="center" wrapText="1"/>
    </x:xf>
    <x:xf numFmtId="200" fontId="7" fillId="5" borderId="2" xfId="0" applyNumberFormat="1" applyFont="1" applyFill="1" applyBorder="1" applyAlignment="1">
      <x:alignment horizontal="right" vertical="center"/>
    </x:xf>
    <x:xf numFmtId="202" fontId="6" fillId="3" borderId="0" xfId="0" applyNumberFormat="1" applyFont="1" applyFill="1" applyBorder="1" applyAlignment="1">
      <x:alignment horizontal="right" vertical="center"/>
    </x:xf>
    <x:xf numFmtId="200" fontId="6" fillId="6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left" vertical="center"/>
    </x:xf>
    <x:xf numFmtId="200" fontId="4" fillId="0" borderId="0" xfId="0" applyNumberFormat="1" applyFont="1" applyFill="1" applyBorder="1" applyAlignment="1">
      <x:alignment horizontal="left" vertical="center"/>
    </x:xf>
    <x:xf numFmtId="203" fontId="6" fillId="3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8" fillId="3" borderId="0" xfId="0" applyNumberFormat="1" applyFont="1" applyFill="1" applyBorder="1" applyAlignment="1">
      <x:alignment horizontal="right" vertical="center"/>
    </x:xf>
    <x:xf numFmtId="204" fontId="8" fillId="3" borderId="0" xfId="0" applyNumberFormat="1" applyFont="1" applyFill="1" applyBorder="1" applyAlignment="1">
      <x:alignment horizontal="right" vertical="center"/>
    </x:xf>
    <x:xf numFmtId="201" fontId="8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horizontal="right" vertical="center"/>
    </x:xf>
    <x:xf numFmtId="200" fontId="1" fillId="6" borderId="0" xfId="0" applyNumberFormat="1" applyFont="1" applyFill="1" applyBorder="1" applyAlignment="1">
      <x:alignment horizontal="right" vertical="center"/>
    </x:xf>
    <x:xf numFmtId="202" fontId="6" fillId="6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4" fontId="6" fillId="6" borderId="0" xfId="0" applyNumberFormat="1" applyFont="1" applyFill="1" applyBorder="1" applyAlignment="1">
      <x:alignment horizontal="right" vertical="center"/>
    </x:xf>
    <x:xf numFmtId="205" fontId="6" fillId="6" borderId="0" xfId="0" applyNumberFormat="1" applyFont="1" applyFill="1" applyBorder="1" applyAlignment="1">
      <x:alignment horizontal="right" vertical="center"/>
    </x:xf>
    <x:xf numFmtId="206" fontId="6" fillId="6" borderId="0" xfId="0" applyNumberFormat="1" applyFont="1" applyFill="1" applyBorder="1" applyAlignment="1">
      <x:alignment horizontal="right" vertical="center"/>
    </x:xf>
    <x:xf numFmtId="207" fontId="6" fillId="6" borderId="0" xfId="0" applyNumberFormat="1" applyFont="1" applyFill="1" applyBorder="1" applyAlignment="1">
      <x:alignment horizontal="right" vertical="center"/>
    </x:xf>
    <x:xf numFmtId="204" fontId="8" fillId="6" borderId="0" xfId="0" applyNumberFormat="1" applyFont="1" applyFill="1" applyBorder="1" applyAlignment="1">
      <x:alignment horizontal="right" vertical="center"/>
    </x:xf>
    <x:xf numFmtId="208" fontId="6" fillId="6" borderId="0" xfId="0" applyNumberFormat="1" applyFont="1" applyFill="1" applyBorder="1" applyAlignment="1">
      <x:alignment horizontal="right" vertical="center"/>
    </x:xf>
    <x:xf numFmtId="203" fontId="8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9" fillId="0" borderId="0" xfId="0" applyNumberFormat="1" applyFont="1" applyFill="1" applyBorder="1" applyAlignment="1">
      <x:alignment vertical="center"/>
    </x:xf>
    <x:xf numFmtId="202" fontId="10" fillId="3" borderId="0" xfId="0" applyNumberFormat="1" applyFont="1" applyFill="1" applyBorder="1" applyAlignment="1">
      <x:alignment horizontal="right" vertical="center"/>
    </x:xf>
    <x:xf numFmtId="202" fontId="10" fillId="6" borderId="0" xfId="0" applyNumberFormat="1" applyFont="1" applyFill="1" applyBorder="1" applyAlignment="1">
      <x:alignment horizontal="right" vertical="center"/>
    </x:xf>
    <x:xf numFmtId="208" fontId="10" fillId="6" borderId="0" xfId="0" applyNumberFormat="1" applyFont="1" applyFill="1" applyBorder="1" applyAlignment="1">
      <x:alignment horizontal="right" vertical="center"/>
    </x:xf>
    <x:xf numFmtId="0" fontId="11" fillId="2" borderId="0" xfId="0" applyNumberFormat="1" applyFont="1" applyFill="1" applyBorder="1" applyAlignment="1">
      <x:alignment horizontal="center" vertical="center"/>
    </x:xf>
    <x:xf numFmtId="0" fontId="12" fillId="2" borderId="0" xfId="0" applyNumberFormat="1" applyFont="1" applyFill="1" applyBorder="1" applyAlignment="1">
      <x:alignment horizontal="center" vertical="center"/>
    </x:xf>
    <x:xf numFmtId="203" fontId="11" fillId="2" borderId="0" xfId="0" applyNumberFormat="1" applyFont="1" applyFill="1" applyBorder="1" applyAlignment="1">
      <x:alignment horizontal="center" vertical="center"/>
    </x:xf>
    <x:xf numFmtId="203" fontId="12" fillId="2" borderId="0" xfId="0" applyNumberFormat="1" applyFont="1" applyFill="1" applyBorder="1" applyAlignment="1">
      <x:alignment horizontal="center" vertical="center"/>
    </x:xf>
    <x:xf numFmtId="203" fontId="5" fillId="2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 applyAlignment="1">
      <x:alignment vertical="center"/>
    </x:xf>
    <x:xf numFmtId="200" fontId="14" fillId="0" borderId="0" xfId="0" applyNumberFormat="1" applyFont="1" applyFill="1" applyBorder="1" applyAlignment="1">
      <x:alignment horizontal="right" vertical="center"/>
    </x:xf>
    <x:xf numFmtId="202" fontId="14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8" fillId="0" borderId="0" xfId="0" applyNumberFormat="1" applyFont="1" applyFill="1" applyBorder="1" applyAlignment="1">
      <x:alignment horizontal="right" vertical="center"/>
    </x:xf>
    <x:xf numFmtId="202" fontId="15" fillId="0" borderId="0" xfId="0" applyNumberFormat="1" applyFont="1" applyFill="1" applyBorder="1" applyAlignment="1">
      <x:alignment horizontal="right" vertical="center"/>
    </x:xf>
    <x:xf numFmtId="202" fontId="9" fillId="0" borderId="0" xfId="0" applyNumberFormat="1" applyFont="1" applyFill="1" applyBorder="1" applyAlignment="1">
      <x:alignment horizontal="right" vertical="center"/>
    </x:xf>
    <x:xf numFmtId="202" fontId="16" fillId="0" borderId="0" xfId="0" applyNumberFormat="1" applyFont="1" applyFill="1" applyBorder="1" applyAlignment="1">
      <x:alignment horizontal="right" vertical="center"/>
    </x:xf>
    <x:xf numFmtId="209" fontId="14" fillId="0" borderId="0" xfId="0" applyNumberFormat="1" applyFont="1" applyFill="1" applyBorder="1" applyAlignment="1">
      <x:alignment horizontal="right" vertical="center"/>
    </x:xf>
    <x:xf numFmtId="209" fontId="8" fillId="0" borderId="0" xfId="0" applyNumberFormat="1" applyFont="1" applyFill="1" applyBorder="1" applyAlignment="1">
      <x:alignment horizontal="right" vertical="center"/>
    </x:xf>
    <x:xf numFmtId="209" fontId="1" fillId="0" borderId="0" xfId="0" applyNumberFormat="1" applyFont="1" applyFill="1" applyBorder="1" applyAlignment="1">
      <x:alignment horizontal="right" vertical="center"/>
    </x:xf>
    <x:xf numFmtId="204" fontId="14" fillId="0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204" fontId="14" fillId="5" borderId="0" xfId="0" applyNumberFormat="1" applyFont="1" applyFill="1" applyBorder="1" applyAlignment="1">
      <x:alignment horizontal="right" vertical="center"/>
    </x:xf>
    <x:xf numFmtId="0" fontId="3" fillId="5" borderId="0" xfId="0" applyNumberFormat="1" applyFont="1" applyFill="1" applyBorder="1" applyAlignment="1">
      <x:alignment vertical="center"/>
    </x:xf>
    <x:xf numFmtId="204" fontId="12" fillId="5" borderId="0" xfId="0" applyNumberFormat="1" applyFont="1" applyFill="1" applyBorder="1" applyAlignment="1">
      <x:alignment horizontal="right" vertical="center"/>
    </x:xf>
    <x:xf numFmtId="0" fontId="3" fillId="5" borderId="2" xfId="0" applyNumberFormat="1" applyFont="1" applyFill="1" applyBorder="1" applyAlignment="1">
      <x:alignment vertical="center"/>
    </x:xf>
    <x:xf numFmtId="204" fontId="12" fillId="5" borderId="2" xfId="0" applyNumberFormat="1" applyFont="1" applyFill="1" applyBorder="1" applyAlignment="1">
      <x:alignment horizontal="right" vertical="center"/>
    </x:xf>
    <x:xf numFmtId="204" fontId="8" fillId="0" borderId="0" xfId="0" applyNumberFormat="1" applyFont="1" applyFill="1" applyBorder="1" applyAlignment="1">
      <x:alignment horizontal="right"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0" fontId="3" fillId="5" borderId="0" xfId="0" applyNumberFormat="1" applyFont="1" applyFill="1" applyBorder="1" applyAlignment="1">
      <x:alignment horizontal="right" vertical="center"/>
    </x:xf>
    <x:xf numFmtId="200" fontId="3" fillId="5" borderId="2" xfId="0" applyNumberFormat="1" applyFont="1" applyFill="1" applyBorder="1" applyAlignment="1">
      <x:alignment horizontal="right" vertical="center"/>
    </x:xf>
    <x:xf numFmtId="210" fontId="14" fillId="0" borderId="0" xfId="0" applyNumberFormat="1" applyFont="1" applyFill="1" applyBorder="1" applyAlignment="1">
      <x:alignment horizontal="right" vertical="center"/>
    </x:xf>
    <x:xf numFmtId="210" fontId="8" fillId="0" borderId="0" xfId="0" applyNumberFormat="1" applyFont="1" applyFill="1" applyBorder="1" applyAlignment="1">
      <x:alignment horizontal="right" vertical="center"/>
    </x:xf>
    <x:xf numFmtId="201" fontId="14" fillId="0" borderId="0" xfId="0" applyNumberFormat="1" applyFont="1" applyFill="1" applyBorder="1" applyAlignment="1">
      <x:alignment horizontal="right" vertical="center"/>
    </x:xf>
    <x:xf numFmtId="201" fontId="8" fillId="0" borderId="0" xfId="0" applyNumberFormat="1" applyFont="1" applyFill="1" applyBorder="1" applyAlignment="1">
      <x:alignment horizontal="right" vertical="center"/>
    </x:xf>
    <x:xf numFmtId="200" fontId="9" fillId="0" borderId="0" xfId="0" applyNumberFormat="1" applyFont="1" applyFill="1" applyBorder="1" applyAlignment="1">
      <x:alignment horizontal="right" vertical="center"/>
    </x:xf>
    <x:xf numFmtId="201" fontId="15" fillId="0" borderId="0" xfId="0" applyNumberFormat="1" applyFont="1" applyFill="1" applyBorder="1" applyAlignment="1">
      <x:alignment horizontal="right" vertical="center"/>
    </x:xf>
    <x:xf numFmtId="201" fontId="16" fillId="0" borderId="0" xfId="0" applyNumberFormat="1" applyFont="1" applyFill="1" applyBorder="1" applyAlignment="1">
      <x:alignment horizontal="right" vertical="center"/>
    </x:xf>
    <x:xf numFmtId="211" fontId="8" fillId="0" borderId="0" xfId="0" applyNumberFormat="1" applyFont="1" applyFill="1" applyBorder="1" applyAlignment="1">
      <x:alignment horizontal="right" vertical="center"/>
    </x:xf>
    <x:xf numFmtId="211" fontId="14" fillId="0" borderId="0" xfId="0" applyNumberFormat="1" applyFont="1" applyFill="1" applyBorder="1" applyAlignment="1">
      <x:alignment horizontal="right" vertical="center"/>
    </x:xf>
    <x:xf numFmtId="212" fontId="8" fillId="0" borderId="0" xfId="0" applyNumberFormat="1" applyFont="1" applyFill="1" applyBorder="1" applyAlignment="1">
      <x:alignment horizontal="right" vertical="center"/>
    </x:xf>
    <x:xf numFmtId="212" fontId="1" fillId="0" borderId="0" xfId="0" applyNumberFormat="1" applyFont="1" applyFill="1" applyBorder="1" applyAlignment="1">
      <x:alignment horizontal="right" vertical="center"/>
    </x:xf>
    <x:xf numFmtId="213" fontId="1" fillId="0" borderId="0" xfId="0" applyNumberFormat="1" applyFont="1" applyFill="1" applyBorder="1" applyAlignment="1">
      <x:alignment horizontal="right" vertical="center"/>
    </x:xf>
    <x:xf numFmtId="214" fontId="8" fillId="0" borderId="0" xfId="0" applyNumberFormat="1" applyFont="1" applyFill="1" applyBorder="1" applyAlignment="1">
      <x:alignment horizontal="right" vertical="center"/>
    </x:xf>
    <x:xf numFmtId="215" fontId="8" fillId="0" borderId="0" xfId="0" applyNumberFormat="1" applyFont="1" applyFill="1" applyBorder="1" applyAlignment="1">
      <x:alignment horizontal="right" vertical="center"/>
    </x:xf>
    <x:xf numFmtId="216" fontId="8" fillId="0" borderId="0" xfId="0" applyNumberFormat="1" applyFont="1" applyFill="1" applyBorder="1" applyAlignment="1">
      <x:alignment horizontal="right" vertical="center"/>
    </x:xf>
    <x:xf numFmtId="217" fontId="8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18" fontId="1" fillId="0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0" fontId="5" fillId="2" borderId="0" xfId="0" applyNumberFormat="1" applyFont="1" applyFill="1" applyBorder="1" applyAlignment="1">
      <x:alignment horizontal="right" vertical="center"/>
    </x:xf>
    <x:xf numFmtId="200" fontId="13" fillId="0" borderId="0" xfId="0" applyNumberFormat="1" applyFont="1" applyFill="1" applyBorder="1" applyAlignment="1">
      <x:alignment horizontal="right" vertical="center"/>
    </x:xf>
    <x:xf numFmtId="200" fontId="13" fillId="0" borderId="0" xfId="0" applyNumberFormat="1" applyFont="1" applyFill="1" applyBorder="1" applyAlignment="1">
      <x:alignment horizontal="center" vertical="center"/>
    </x:xf>
    <x:xf numFmtId="219" fontId="1" fillId="0" borderId="0" xfId="0" applyNumberFormat="1" applyFont="1" applyFill="1" applyBorder="1" applyAlignment="1">
      <x:alignment horizontal="right" vertical="center"/>
    </x:xf>
    <x:xf numFmtId="219" fontId="1" fillId="5" borderId="0" xfId="0" applyNumberFormat="1" applyFont="1" applyFill="1" applyBorder="1" applyAlignment="1">
      <x:alignment horizontal="right" vertical="center"/>
    </x:xf>
    <x:xf numFmtId="219" fontId="3" fillId="5" borderId="0" xfId="0" applyNumberFormat="1" applyFont="1" applyFill="1" applyBorder="1" applyAlignment="1">
      <x:alignment horizontal="right" vertical="center"/>
    </x:xf>
    <x:xf numFmtId="219" fontId="3" fillId="5" borderId="2" xfId="0" applyNumberFormat="1" applyFont="1" applyFill="1" applyBorder="1" applyAlignment="1">
      <x:alignment horizontal="right" vertical="center"/>
    </x:xf>
    <x:xf numFmtId="215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8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0" fontId="1" fillId="5" borderId="0" xfId="0" applyNumberFormat="1" applyFont="1" applyFill="1" applyBorder="1" applyAlignment="1">
      <x:alignment horizontal="left" vertical="center"/>
    </x:xf>
    <x:xf numFmtId="204" fontId="1" fillId="5" borderId="0" xfId="0" applyNumberFormat="1" applyFont="1" applyFill="1" applyBorder="1" applyAlignment="1">
      <x:alignment horizontal="right" vertical="center"/>
    </x:xf>
    <x:xf numFmtId="200" fontId="3" fillId="5" borderId="0" xfId="0" applyNumberFormat="1" applyFont="1" applyFill="1" applyBorder="1" applyAlignment="1">
      <x:alignment horizontal="left" vertical="center"/>
    </x:xf>
    <x:xf numFmtId="204" fontId="3" fillId="5" borderId="0" xfId="0" applyNumberFormat="1" applyFont="1" applyFill="1" applyBorder="1" applyAlignment="1">
      <x:alignment horizontal="right" vertical="center"/>
    </x:xf>
    <x:xf numFmtId="204" fontId="3" fillId="5" borderId="2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5" fillId="2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 wrapText="1"/>
    </x:xf>
    <x:xf numFmtId="0" fontId="17" fillId="0" borderId="0" xfId="0" applyNumberFormat="1" applyFont="1" applyFill="1" applyBorder="1"/>
    <x:xf numFmtId="0" fontId="18" fillId="0" borderId="0" xfId="0" applyNumberFormat="1" applyFont="1" applyFill="1" applyBorder="1"/>
    <x:xf numFmtId="219" fontId="18" fillId="0" borderId="0" xfId="0" applyNumberFormat="1" applyFont="1" applyFill="1" applyBorder="1"/>
  </x:cellXfs>
  <x:cellStyles count="1">
    <x:cellStyle name="Normal" xfId="0"/>
  </x:cellStyles>
  <x:dxfs count="4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17212B"/>
      </x:font>
      <x:fill>
        <x:patternFill patternType="solid">
          <x:bgColor rgb="FFDDEBF7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9849ee65554a93" /><Relationship Type="http://schemas.openxmlformats.org/officeDocument/2006/relationships/theme" Target="/xl/theme/theme1.xml" Id="Rc8696e8ae543439f" /><Relationship Type="http://schemas.openxmlformats.org/officeDocument/2006/relationships/sharedStrings" Target="/xl/sharedStrings.xml" Id="Rb328c350ba004d4f" /><Relationship Type="http://schemas.openxmlformats.org/officeDocument/2006/relationships/worksheet" Target="/xl/worksheets/sheet1.xml" Id="R329020a564964663" /><Relationship Type="http://schemas.openxmlformats.org/officeDocument/2006/relationships/worksheet" Target="/xl/worksheets/sheet2.xml" Id="Rc9d00555e4774059" /><Relationship Type="http://schemas.openxmlformats.org/officeDocument/2006/relationships/worksheet" Target="/xl/worksheets/sheet3.xml" Id="R6cd5029fa1ce42aa" /><Relationship Type="http://schemas.openxmlformats.org/officeDocument/2006/relationships/worksheet" Target="/xl/worksheets/sheet4.xml" Id="R916e0717eab247a8" /><Relationship Type="http://schemas.openxmlformats.org/officeDocument/2006/relationships/worksheet" Target="/xl/worksheets/sheet5.xml" Id="Rc7222ea49f0243d2" /><Relationship Type="http://schemas.openxmlformats.org/officeDocument/2006/relationships/worksheet" Target="/xl/worksheets/sheet6.xml" Id="R975c1410d727464f" /><Relationship Type="http://schemas.openxmlformats.org/officeDocument/2006/relationships/worksheet" Target="/xl/worksheets/sheet7.xml" Id="R168d2e14a76e4d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cb302b73fd4ec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Exit run rate and earned revenue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Exit annualized revenue</c:v>
          </c:tx>
          <c:spPr>
            <a:ln xmlns:a="http://schemas.openxmlformats.org/drawingml/2006/main" w="19050">
              <a:solidFill>
                <a:srgbClr val="263747"/>
              </a:solidFill>
              <a:prstDash val="solid"/>
            </a:ln>
          </c:spPr>
          <c:marker>
            <c:symbol val="none"/>
          </c:marker>
          <c:cat>
            <c:strRef>
              <c:f>'Summary'!$J$76:$J$80</c:f>
              <c:strCache>
                <c:ptCount val="0"/>
              </c:strCache>
            </c:strRef>
          </c:cat>
          <c:val>
            <c:numRef>
              <c:f>'Summary'!$K$76:$K$80</c:f>
              <c:numCache>
                <c:formatCode>$0,,"M"</c:formatCode>
                <c:ptCount val="0"/>
              </c:numCache>
            </c:numRef>
          </c:val>
          <c:smooth val="0"/>
        </c:ser>
        <c:ser>
          <c:idx val="1"/>
          <c:order val="1"/>
          <c:tx>
            <c:v>Revenue earned in year</c:v>
          </c:tx>
          <c:spPr>
            <a:ln xmlns:a="http://schemas.openxmlformats.org/drawingml/2006/main" w="19050">
              <a:solidFill>
                <a:srgbClr val="64977E"/>
              </a:solidFill>
              <a:prstDash val="solid"/>
            </a:ln>
          </c:spPr>
          <c:marker>
            <c:symbol val="none"/>
          </c:marker>
          <c:cat>
            <c:strRef>
              <c:f>'Summary'!$J$76:$J$80</c:f>
              <c:strCache>
                <c:ptCount val="0"/>
              </c:strCache>
            </c:strRef>
          </c:cat>
          <c:val>
            <c:numRef>
              <c:f>'Summary'!$L$76:$L$80</c:f>
              <c:numCache>
                <c:formatCode>$0,,"M"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26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cb302b73fd4ec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83e7df5a31d4934" /></Relationships>
</file>

<file path=xl/worksheets/sheet1.xml><?xml version="1.0" encoding="utf-8"?>
<x:worksheet xmlns:x="http://schemas.openxmlformats.org/spreadsheetml/2006/main">
  <x:sheetPr>
    <x:tabColor rgb="FF263747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4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1" customHeight="1">
      <x:c r="A2" s="2"/>
      <x:c r="B2" s="2"/>
      <x:c r="C2" s="6" t="str">
        <x:v>VibeTrader financials and market evidence</x:v>
      </x:c>
      <x:c r="D2" s="6"/>
      <x:c r="E2" s="6"/>
      <x:c r="F2" s="6"/>
      <x:c r="G2" s="6"/>
      <x:c r="H2" s="6"/>
      <x:c r="I2" s="6"/>
      <x:c r="J2" s="6"/>
      <x:c r="K2" s="6"/>
      <x:c r="L2" s="6"/>
    </x:row>
    <x:row r="3" ht="22" customHeight="1">
      <x:c r="A3" s="2"/>
      <x:c r="B3" s="2"/>
      <x:c r="C3" s="10" t="str">
        <x:v>October 2026 launch. Year 1 is November 2026-October 2027. Planned strategy customers are separate from observed app activity.</x:v>
      </x:c>
      <x:c r="D3" s="10"/>
      <x:c r="E3" s="10"/>
      <x:c r="F3" s="10"/>
      <x:c r="G3" s="10"/>
      <x:c r="H3" s="10"/>
      <x:c r="I3" s="10"/>
      <x:c r="J3" s="10"/>
      <x:c r="K3" s="10"/>
      <x:c r="L3" s="10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0" customHeight="1">
      <x:c r="A5" s="2"/>
      <x:c r="B5" s="2"/>
      <x:c r="C5" s="15" t="str">
        <x:v>Observed traction</x:v>
      </x:c>
      <x:c r="D5" s="15" t="str">
        <x:v>Value</x:v>
      </x:c>
      <x:c r="E5" s="15" t="str">
        <x:v>Basis</x:v>
      </x:c>
      <x:c r="F5" s="2"/>
      <x:c r="G5" s="13" t="str">
        <x:v>Strategy launch plan</x:v>
      </x:c>
      <x:c r="H5" s="13"/>
      <x:c r="I5" s="13"/>
      <x:c r="J5" s="13"/>
      <x:c r="K5" s="13"/>
      <x:c r="L5" s="13"/>
    </x:row>
    <x:row r="6" ht="23" customHeight="1">
      <x:c r="A6" s="2"/>
      <x:c r="B6" s="2"/>
      <x:c r="C6" s="2" t="str">
        <x:v>Registered app sign-ups</x:v>
      </x:c>
      <x:c r="D6" s="4" t="n">
        <x:f>'Evidence'!E53</x:f>
        <x:v>2513</x:v>
      </x:c>
      <x:c r="E6" s="4" t="str">
        <x:v>All time</x:v>
      </x:c>
      <x:c r="F6" s="4"/>
      <x:c r="G6" s="9" t="str">
        <x:v>Planned October customers</x:v>
      </x:c>
      <x:c r="H6" s="9"/>
      <x:c r="I6" s="9"/>
      <x:c r="J6" s="9"/>
      <x:c r="K6" s="4" t="n">
        <x:f>'Assumptions'!D51</x:f>
        <x:v>500</x:v>
      </x:c>
      <x:c r="L6" s="4"/>
    </x:row>
    <x:row r="7" ht="23" customHeight="1">
      <x:c r="A7" s="2"/>
      <x:c r="B7" s="2"/>
      <x:c r="C7" s="2" t="str">
        <x:v>Weekly active app users</x:v>
      </x:c>
      <x:c r="D7" s="4" t="n">
        <x:f>'Evidence'!E54</x:f>
        <x:v>63</x:v>
      </x:c>
      <x:c r="E7" s="4" t="str">
        <x:v>Week of Sep 28</x:v>
      </x:c>
      <x:c r="F7" s="4"/>
      <x:c r="G7" s="9" t="str">
        <x:v>Illustrative average / month</x:v>
      </x:c>
      <x:c r="H7" s="9"/>
      <x:c r="I7" s="9"/>
      <x:c r="J7" s="9"/>
      <x:c r="K7" s="119" t="n">
        <x:f>'Assumptions'!D10</x:f>
        <x:v>500</x:v>
      </x:c>
      <x:c r="L7" s="119"/>
    </x:row>
    <x:row r="8" ht="23" customHeight="1">
      <x:c r="A8" s="2"/>
      <x:c r="B8" s="2"/>
      <x:c r="C8" s="2" t="str">
        <x:v>Eight-week app activity retention</x:v>
      </x:c>
      <x:c r="D8" s="71" t="n">
        <x:f>'Evidence'!E60</x:f>
        <x:v>0.07</x:v>
      </x:c>
      <x:c r="E8" s="4" t="str">
        <x:v>Clerk cohort</x:v>
      </x:c>
      <x:c r="F8" s="4"/>
      <x:c r="G8" s="9" t="str">
        <x:v>October 2027 monthly revenue</x:v>
      </x:c>
      <x:c r="H8" s="9"/>
      <x:c r="I8" s="9"/>
      <x:c r="J8" s="9"/>
      <x:c r="K8" s="119" t="n">
        <x:f>'Revenue model'!D68</x:f>
        <x:v>250000</x:v>
      </x:c>
      <x:c r="L8" s="119"/>
    </x:row>
    <x:row r="9" ht="23" customHeight="1">
      <x:c r="A9" s="2"/>
      <x:c r="B9" s="2"/>
      <x:c r="C9" s="2" t="str">
        <x:v>App revenue, founder reported ($)</x:v>
      </x:c>
      <x:c r="D9" s="107" t="n">
        <x:f>'Evidence'!E61</x:f>
        <x:v>0</x:v>
      </x:c>
      <x:c r="E9" s="4" t="str">
        <x:v>Pre-revenue</x:v>
      </x:c>
      <x:c r="F9" s="4"/>
      <x:c r="G9" s="9" t="str">
        <x:v>First full-year revenue target</x:v>
      </x:c>
      <x:c r="H9" s="9"/>
      <x:c r="I9" s="9"/>
      <x:c r="J9" s="9"/>
      <x:c r="K9" s="119" t="n">
        <x:f>'Revenue model'!D63</x:f>
        <x:v>3000000</x:v>
      </x:c>
      <x:c r="L9" s="119"/>
    </x:row>
    <x:row r="10" ht="23" customHeight="1">
      <x:c r="A10" s="2"/>
      <x:c r="B10" s="2"/>
      <x:c r="C10" s="2" t="str">
        <x:v>Strategy revenue ($)</x:v>
      </x:c>
      <x:c r="D10" s="4" t="str">
        <x:f>IF(ISNUMBER('Evidence'!E65),'Evidence'!E65,"n.a.")</x:f>
        <x:v>n.a.</x:v>
      </x:c>
      <x:c r="E10" s="4" t="str">
        <x:v>Billing needed</x:v>
      </x:c>
      <x:c r="F10" s="4"/>
      <x:c r="G10" s="122" t="str">
        <x:v>Strategy revenue, first full year</x:v>
      </x:c>
      <x:c r="H10" s="122"/>
      <x:c r="I10" s="122"/>
      <x:c r="J10" s="122"/>
      <x:c r="K10" s="123" t="n">
        <x:f>'Revenue model'!D64</x:f>
        <x:v>3000000</x:v>
      </x:c>
      <x:c r="L10" s="123"/>
    </x:row>
    <x:row r="11" ht="23" customHeight="1">
      <x:c r="A11" s="2"/>
      <x:c r="B11" s="2"/>
      <x:c r="C11" s="2" t="str">
        <x:v>Paid strategy subscriptions</x:v>
      </x:c>
      <x:c r="D11" s="4" t="str">
        <x:f>IF(ISNUMBER('Evidence'!E62),'Evidence'!E62,"n.a.")</x:f>
        <x:v>n.a.</x:v>
      </x:c>
      <x:c r="E11" s="4" t="str">
        <x:v>Billing needed</x:v>
      </x:c>
      <x:c r="F11" s="4"/>
      <x:c r="G11" s="122" t="str">
        <x:v>Strategy revenue less target</x:v>
      </x:c>
      <x:c r="H11" s="122"/>
      <x:c r="I11" s="122"/>
      <x:c r="J11" s="122"/>
      <x:c r="K11" s="123" t="n">
        <x:f>'Revenue model'!D65</x:f>
        <x:v>0</x:v>
      </x:c>
      <x:c r="L11" s="123"/>
    </x:row>
    <x:row r="12" ht="22" customHeight="1">
      <x:c r="A12" s="2"/>
      <x:c r="B12" s="2"/>
      <x:c r="C12" s="10" t="str">
        <x:v>Clerk covers app activity only. Strategy sales, customers and retention require separate billing evidence.</x:v>
      </x:c>
      <x:c r="D12" s="50"/>
      <x:c r="E12" s="50"/>
      <x:c r="F12" s="50"/>
      <x:c r="G12" s="50"/>
      <x:c r="H12" s="50"/>
      <x:c r="I12" s="50"/>
      <x:c r="J12" s="50"/>
      <x:c r="K12" s="50"/>
      <x:c r="L12" s="50"/>
    </x:row>
    <x:row r="13" ht="23" customHeight="1">
      <x:c r="A13" s="2"/>
      <x:c r="B13" s="2"/>
      <x:c r="C13" s="2"/>
      <x:c r="D13" s="111" t="str">
        <x:v>Nov 2026-Oct 2027</x:v>
      </x:c>
      <x:c r="E13" s="111" t="str">
        <x:v>Nov 2027-Oct 2028</x:v>
      </x:c>
      <x:c r="F13" s="111" t="str">
        <x:v>Nov 2028-Oct 2029</x:v>
      </x:c>
      <x:c r="G13" s="111" t="str">
        <x:v>Nov 2029-Oct 2030</x:v>
      </x:c>
      <x:c r="H13" s="111" t="str">
        <x:v>Nov 2030-Oct 2031</x:v>
      </x:c>
      <x:c r="I13" s="4"/>
      <x:c r="J13" s="4"/>
      <x:c r="K13" s="4"/>
      <x:c r="L13" s="4"/>
    </x:row>
    <x:row r="14" ht="30" customHeight="1">
      <x:c r="A14" s="2"/>
      <x:c r="B14" s="2"/>
      <x:c r="C14" s="15" t="str">
        <x:v>Forecast (USD)</x:v>
      </x:c>
      <x:c r="D14" s="16" t="str">
        <x:v>Year 1</x:v>
      </x:c>
      <x:c r="E14" s="16" t="str">
        <x:v>Year 2</x:v>
      </x:c>
      <x:c r="F14" s="16" t="str">
        <x:v>Year 3</x:v>
      </x:c>
      <x:c r="G14" s="16" t="str">
        <x:v>Year 4</x:v>
      </x:c>
      <x:c r="H14" s="16" t="str">
        <x:v>Year 5</x:v>
      </x:c>
      <x:c r="I14" s="4"/>
      <x:c r="J14" s="4"/>
      <x:c r="K14" s="4"/>
      <x:c r="L14" s="4"/>
    </x:row>
    <x:row r="15" ht="23" customHeight="1">
      <x:c r="A15" s="2"/>
      <x:c r="B15" s="2"/>
      <x:c r="C15" s="2" t="str">
        <x:v>App exit annualized revenue</x:v>
      </x:c>
      <x:c r="D15" s="112" t="n">
        <x:f>'Revenue model'!D18</x:f>
        <x:v>270000.00000000006</x:v>
      </x:c>
      <x:c r="E15" s="112" t="n">
        <x:f>'Revenue model'!E18</x:f>
        <x:v>1080000</x:v>
      </x:c>
      <x:c r="F15" s="112" t="n">
        <x:f>'Revenue model'!F18</x:f>
        <x:v>2700000</x:v>
      </x:c>
      <x:c r="G15" s="112" t="n">
        <x:f>'Revenue model'!G18</x:f>
        <x:v>5400000</x:v>
      </x:c>
      <x:c r="H15" s="112" t="n">
        <x:f>'Revenue model'!H18</x:f>
        <x:v>10800000</x:v>
      </x:c>
      <x:c r="I15" s="4"/>
      <x:c r="J15" s="4"/>
      <x:c r="K15" s="4"/>
      <x:c r="L15" s="4"/>
    </x:row>
    <x:row r="16" ht="23" customHeight="1">
      <x:c r="A16" s="2"/>
      <x:c r="B16" s="2"/>
      <x:c r="C16" s="2" t="str">
        <x:v>Strategy exit annualized revenue</x:v>
      </x:c>
      <x:c r="D16" s="112" t="n">
        <x:f>'Revenue model'!D29</x:f>
        <x:v>3000000</x:v>
      </x:c>
      <x:c r="E16" s="112" t="n">
        <x:f>'Revenue model'!E29</x:f>
        <x:v>9599999.999999996</x:v>
      </x:c>
      <x:c r="F16" s="112" t="n">
        <x:f>'Revenue model'!F29</x:f>
        <x:v>29999999.999999993</x:v>
      </x:c>
      <x:c r="G16" s="112" t="n">
        <x:f>'Revenue model'!G29</x:f>
        <x:v>66000000</x:v>
      </x:c>
      <x:c r="H16" s="112" t="n">
        <x:f>'Revenue model'!H29</x:f>
        <x:v>120000000</x:v>
      </x:c>
      <x:c r="I16" s="4"/>
      <x:c r="J16" s="4"/>
      <x:c r="K16" s="4"/>
      <x:c r="L16" s="4"/>
    </x:row>
    <x:row r="17" ht="23" customHeight="1">
      <x:c r="A17" s="2"/>
      <x:c r="B17" s="2"/>
      <x:c r="C17" s="2" t="str">
        <x:v>RIA exit annualized revenue</x:v>
      </x:c>
      <x:c r="D17" s="112" t="n">
        <x:f>'Revenue model'!D37</x:f>
        <x:v>0</x:v>
      </x:c>
      <x:c r="E17" s="112" t="n">
        <x:f>'Revenue model'!E37</x:f>
        <x:v>0</x:v>
      </x:c>
      <x:c r="F17" s="112" t="n">
        <x:f>'Revenue model'!F37</x:f>
        <x:v>3000000</x:v>
      </x:c>
      <x:c r="G17" s="112" t="n">
        <x:f>'Revenue model'!G37</x:f>
        <x:v>12000000</x:v>
      </x:c>
      <x:c r="H17" s="112" t="n">
        <x:f>'Revenue model'!H37</x:f>
        <x:v>40000000</x:v>
      </x:c>
      <x:c r="I17" s="4"/>
      <x:c r="J17" s="4"/>
      <x:c r="K17" s="4"/>
      <x:c r="L17" s="4"/>
    </x:row>
    <x:row r="18" ht="23" customHeight="1">
      <x:c r="A18" s="2"/>
      <x:c r="B18" s="2"/>
      <x:c r="C18" s="2" t="str">
        <x:v>Business exit annualized revenue</x:v>
      </x:c>
      <x:c r="D18" s="112" t="n">
        <x:f>'Revenue model'!D45</x:f>
        <x:v>0</x:v>
      </x:c>
      <x:c r="E18" s="112" t="n">
        <x:f>'Revenue model'!E45</x:f>
        <x:v>0</x:v>
      </x:c>
      <x:c r="F18" s="112" t="n">
        <x:f>'Revenue model'!F45</x:f>
        <x:v>1000000</x:v>
      </x:c>
      <x:c r="G18" s="112" t="n">
        <x:f>'Revenue model'!G45</x:f>
        <x:v>5999999.999999999</x:v>
      </x:c>
      <x:c r="H18" s="112" t="n">
        <x:f>'Revenue model'!H45</x:f>
        <x:v>16000000</x:v>
      </x:c>
      <x:c r="I18" s="4"/>
      <x:c r="J18" s="4"/>
      <x:c r="K18" s="4"/>
      <x:c r="L18" s="4"/>
    </x:row>
    <x:row r="19" ht="25" customHeight="1">
      <x:c r="A19" s="2"/>
      <x:c r="B19" s="2"/>
      <x:c r="C19" s="84" t="str">
        <x:v>Total exit annualized revenue</x:v>
      </x:c>
      <x:c r="D19" s="115" t="n">
        <x:f>'Revenue model'!D48</x:f>
        <x:v>3270000</x:v>
      </x:c>
      <x:c r="E19" s="115" t="n">
        <x:f>'Revenue model'!E48</x:f>
        <x:v>10679999.999999996</x:v>
      </x:c>
      <x:c r="F19" s="115" t="n">
        <x:f>'Revenue model'!F48</x:f>
        <x:v>36699999.99999999</x:v>
      </x:c>
      <x:c r="G19" s="115" t="n">
        <x:f>'Revenue model'!G48</x:f>
        <x:v>89400000</x:v>
      </x:c>
      <x:c r="H19" s="115" t="n">
        <x:f>'Revenue model'!H48</x:f>
        <x:v>186800000</x:v>
      </x:c>
      <x:c r="I19" s="4"/>
      <x:c r="J19" s="4"/>
      <x:c r="K19" s="4"/>
      <x:c r="L19" s="4"/>
    </x:row>
    <x:row r="20" ht="23" customHeight="1">
      <x:c r="A20" s="2"/>
      <x:c r="B20" s="2"/>
      <x:c r="C20" s="2"/>
      <x:c r="D20" s="4"/>
      <x:c r="E20" s="4"/>
      <x:c r="F20" s="4"/>
      <x:c r="G20" s="4"/>
      <x:c r="H20" s="4"/>
      <x:c r="I20" s="4"/>
      <x:c r="J20" s="4"/>
      <x:c r="K20" s="4"/>
      <x:c r="L20" s="4"/>
    </x:row>
    <x:row r="21" ht="25" customHeight="1">
      <x:c r="A21" s="2"/>
      <x:c r="B21" s="2"/>
      <x:c r="C21" s="84" t="str">
        <x:v>Modeled revenue earned in year</x:v>
      </x:c>
      <x:c r="D21" s="124" t="n">
        <x:f>'Revenue model'!D47</x:f>
        <x:v>3135000</x:v>
      </x:c>
      <x:c r="E21" s="115" t="n">
        <x:f>'Revenue model'!E47</x:f>
        <x:v>7874999.999999998</x:v>
      </x:c>
      <x:c r="F21" s="115" t="n">
        <x:f>'Revenue model'!F47</x:f>
        <x:v>24889999.999999996</x:v>
      </x:c>
      <x:c r="G21" s="115" t="n">
        <x:f>'Revenue model'!G47</x:f>
        <x:v>63050000</x:v>
      </x:c>
      <x:c r="H21" s="115" t="n">
        <x:f>'Revenue model'!H47</x:f>
        <x:v>138100000</x:v>
      </x:c>
      <x:c r="I21" s="4"/>
      <x:c r="J21" s="4"/>
      <x:c r="K21" s="4"/>
      <x:c r="L21" s="4"/>
    </x:row>
    <x:row r="22" ht="23" customHeight="1">
      <x:c r="A22" s="2"/>
      <x:c r="B22" s="2"/>
      <x:c r="C22" s="2" t="str">
        <x:v>EBITDA</x:v>
      </x:c>
      <x:c r="D22" s="112" t="str">
        <x:f>'P&amp;L'!D32</x:f>
        <x:v>n.a.</x:v>
      </x:c>
      <x:c r="E22" s="112" t="str">
        <x:f>'P&amp;L'!E32</x:f>
        <x:v>n.a.</x:v>
      </x:c>
      <x:c r="F22" s="112" t="str">
        <x:f>'P&amp;L'!F32</x:f>
        <x:v>n.a.</x:v>
      </x:c>
      <x:c r="G22" s="112" t="str">
        <x:f>'P&amp;L'!G32</x:f>
        <x:v>n.a.</x:v>
      </x:c>
      <x:c r="H22" s="112" t="str">
        <x:f>'P&amp;L'!H32</x:f>
        <x:v>n.a.</x:v>
      </x:c>
      <x:c r="I22" s="4"/>
      <x:c r="J22" s="4"/>
      <x:c r="K22" s="4"/>
      <x:c r="L22" s="4"/>
    </x:row>
    <x:row r="23" ht="23" customHeight="1">
      <x:c r="A23" s="2"/>
      <x:c r="B23" s="2"/>
      <x:c r="C23" s="2" t="str">
        <x:v>Of which: strategy revenue earned</x:v>
      </x:c>
      <x:c r="D23" s="112" t="n">
        <x:f>'Revenue model'!D28</x:f>
        <x:v>3000000</x:v>
      </x:c>
      <x:c r="E23" s="112" t="n">
        <x:f>'Revenue model'!E28</x:f>
        <x:v>7199999.999999998</x:v>
      </x:c>
      <x:c r="F23" s="112" t="n">
        <x:f>'Revenue model'!F28</x:f>
        <x:v>20999999.999999996</x:v>
      </x:c>
      <x:c r="G23" s="112" t="n">
        <x:f>'Revenue model'!G28</x:f>
        <x:v>48000000</x:v>
      </x:c>
      <x:c r="H23" s="112" t="n">
        <x:f>'Revenue model'!H28</x:f>
        <x:v>93000000</x:v>
      </x:c>
      <x:c r="I23" s="4"/>
      <x:c r="J23" s="4"/>
      <x:c r="K23" s="4"/>
      <x:c r="L23" s="4"/>
    </x:row>
    <x:row r="24" ht="22" customHeight="1">
      <x:c r="A24" s="2"/>
      <x:c r="B24" s="2"/>
      <x:c r="C24" s="10" t="str">
        <x:v>Year 1 strategies use the launch cohort. App and Years 2-5 retain deck assumptions. Costs remain incomplete.</x:v>
      </x:c>
      <x:c r="D24" s="50"/>
      <x:c r="E24" s="50"/>
      <x:c r="F24" s="50"/>
      <x:c r="G24" s="50"/>
      <x:c r="H24" s="50"/>
      <x:c r="I24" s="50"/>
      <x:c r="J24" s="50"/>
      <x:c r="K24" s="50"/>
      <x:c r="L24" s="50"/>
    </x:row>
    <x:row r="25" ht="23" customHeight="1">
      <x:c r="A25" s="2"/>
      <x:c r="B25" s="2"/>
      <x:c r="C25" s="2"/>
      <x:c r="D25" s="4"/>
      <x:c r="E25" s="4"/>
      <x:c r="F25" s="4"/>
      <x:c r="G25" s="4"/>
      <x:c r="H25" s="4"/>
      <x:c r="I25" s="4"/>
      <x:c r="J25" s="4"/>
      <x:c r="K25" s="4"/>
      <x:c r="L25" s="4"/>
    </x:row>
    <x:row r="26" ht="23" customHeight="1">
      <x:c r="A26" s="2"/>
      <x:c r="B26" s="2"/>
      <x:c r="C26" s="2"/>
      <x:c r="D26" s="4"/>
      <x:c r="E26" s="4"/>
      <x:c r="F26" s="4"/>
      <x:c r="G26" s="4"/>
      <x:c r="H26" s="4"/>
      <x:c r="I26" s="4"/>
      <x:c r="J26" s="4"/>
      <x:c r="K26" s="4"/>
      <x:c r="L26" s="4"/>
    </x:row>
    <x:row r="27" ht="30" customHeight="1">
      <x:c r="A27" s="2"/>
      <x:c r="B27" s="2"/>
      <x:c r="C27" s="15" t="str">
        <x:v>Market opportunity (USD / year)</x:v>
      </x:c>
      <x:c r="D27" s="16" t="str">
        <x:v>Lower bound</x:v>
      </x:c>
      <x:c r="E27" s="16" t="str">
        <x:v>Upper bound</x:v>
      </x:c>
      <x:c r="F27" s="4"/>
      <x:c r="G27" s="4"/>
      <x:c r="H27" s="4"/>
      <x:c r="I27" s="4"/>
      <x:c r="J27" s="4"/>
      <x:c r="K27" s="4"/>
      <x:c r="L27" s="4"/>
    </x:row>
    <x:row r="28" ht="23" customHeight="1">
      <x:c r="A28" s="2"/>
      <x:c r="B28" s="2"/>
      <x:c r="C28" s="2" t="str">
        <x:v>TAM, current deck method</x:v>
      </x:c>
      <x:c r="D28" s="116" t="n">
        <x:f>'Market sizing'!E36</x:f>
        <x:v>28640000000</x:v>
      </x:c>
      <x:c r="E28" s="116" t="n">
        <x:f>'Market sizing'!F36</x:f>
        <x:v>31940000000</x:v>
      </x:c>
      <x:c r="F28" s="4"/>
      <x:c r="G28" s="4"/>
      <x:c r="H28" s="4"/>
      <x:c r="I28" s="4"/>
      <x:c r="J28" s="4"/>
      <x:c r="K28" s="4"/>
      <x:c r="L28" s="4"/>
    </x:row>
    <x:row r="29" ht="23" customHeight="1">
      <x:c r="A29" s="2"/>
      <x:c r="B29" s="2"/>
      <x:c r="C29" s="2" t="str">
        <x:v>SAM, current deck method</x:v>
      </x:c>
      <x:c r="D29" s="116" t="n">
        <x:f>'Market sizing'!E37</x:f>
        <x:v>4856100000</x:v>
      </x:c>
      <x:c r="E29" s="116" t="n">
        <x:f>'Market sizing'!F37</x:f>
        <x:v>7287203400</x:v>
      </x:c>
      <x:c r="F29" s="4"/>
      <x:c r="G29" s="4"/>
      <x:c r="H29" s="4"/>
      <x:c r="I29" s="4"/>
      <x:c r="J29" s="4"/>
      <x:c r="K29" s="4"/>
      <x:c r="L29" s="4"/>
    </x:row>
    <x:row r="30" ht="23" customHeight="1">
      <x:c r="A30" s="2"/>
      <x:c r="B30" s="2"/>
      <x:c r="C30" s="2" t="str">
        <x:v>SAM, bundle-adjusted</x:v>
      </x:c>
      <x:c r="D30" s="116" t="n">
        <x:f>'Market sizing'!E38</x:f>
        <x:v>4856100000</x:v>
      </x:c>
      <x:c r="E30" s="116" t="n">
        <x:f>'Market sizing'!F38</x:f>
        <x:v>7250675766</x:v>
      </x:c>
      <x:c r="F30" s="4"/>
      <x:c r="G30" s="4"/>
      <x:c r="H30" s="4"/>
      <x:c r="I30" s="4"/>
      <x:c r="J30" s="4"/>
      <x:c r="K30" s="4"/>
      <x:c r="L30" s="4"/>
    </x:row>
    <x:row r="31" ht="23" customHeight="1">
      <x:c r="A31" s="2"/>
      <x:c r="B31" s="2"/>
      <x:c r="C31" s="2"/>
      <x:c r="D31" s="4"/>
      <x:c r="E31" s="4"/>
      <x:c r="F31" s="4"/>
      <x:c r="G31" s="4"/>
      <x:c r="H31" s="4"/>
      <x:c r="I31" s="4"/>
      <x:c r="J31" s="4"/>
      <x:c r="K31" s="4"/>
      <x:c r="L31" s="4"/>
    </x:row>
    <x:row r="32" ht="23" customHeight="1">
      <x:c r="A32" s="2"/>
      <x:c r="B32" s="2"/>
      <x:c r="C32" s="2" t="str">
        <x:v>Year-5 target</x:v>
      </x:c>
      <x:c r="D32" s="112" t="n">
        <x:f>'Market sizing'!E43</x:f>
        <x:v>186800000</x:v>
      </x:c>
      <x:c r="E32" s="4"/>
      <x:c r="F32" s="4"/>
      <x:c r="G32" s="4"/>
      <x:c r="H32" s="4"/>
      <x:c r="I32" s="4"/>
      <x:c r="J32" s="4"/>
      <x:c r="K32" s="4"/>
      <x:c r="L32" s="4"/>
    </x:row>
    <x:row r="33" ht="23" customHeight="1">
      <x:c r="A33" s="2"/>
      <x:c r="B33" s="2"/>
      <x:c r="C33" s="2" t="str">
        <x:v>Year-5 / SAM (low, high)</x:v>
      </x:c>
      <x:c r="D33" s="117" t="n">
        <x:f>'Market sizing'!E44</x:f>
        <x:v>0.03846708263833117</x:v>
      </x:c>
      <x:c r="E33" s="117" t="n">
        <x:f>'Market sizing'!F44</x:f>
        <x:v>0.025633976403073914</x:v>
      </x:c>
      <x:c r="F33" s="4"/>
      <x:c r="G33" s="4"/>
      <x:c r="H33" s="4"/>
      <x:c r="I33" s="4"/>
      <x:c r="J33" s="4"/>
      <x:c r="K33" s="4"/>
      <x:c r="L33" s="4"/>
    </x:row>
    <x:row r="34" ht="23" customHeight="1">
      <x:c r="A34" s="2"/>
      <x:c r="B34" s="2"/>
      <x:c r="C34" s="2" t="str">
        <x:v>Year-5 / assumed strategy pool</x:v>
      </x:c>
      <x:c r="D34" s="118" t="n">
        <x:f>'Market sizing'!F48</x:f>
        <x:v>0.14734050390452336</x:v>
      </x:c>
      <x:c r="E34" s="4"/>
      <x:c r="F34" s="4"/>
      <x:c r="G34" s="4"/>
      <x:c r="H34" s="4"/>
      <x:c r="I34" s="4"/>
      <x:c r="J34" s="4"/>
      <x:c r="K34" s="4"/>
      <x:c r="L34" s="4"/>
    </x:row>
    <x:row r="35" ht="23" customHeight="1">
      <x:c r="A35" s="2"/>
      <x:c r="B35" s="2"/>
      <x:c r="C35" s="2"/>
      <x:c r="D35" s="4"/>
      <x:c r="E35" s="4"/>
      <x:c r="F35" s="4"/>
      <x:c r="G35" s="4"/>
      <x:c r="H35" s="4"/>
      <x:c r="I35" s="4"/>
      <x:c r="J35" s="4"/>
      <x:c r="K35" s="4"/>
      <x:c r="L35" s="4"/>
    </x:row>
    <x:row r="36" ht="23" customHeight="1">
      <x:c r="A36" s="2"/>
      <x:c r="B36" s="2"/>
      <x:c r="C36" s="2"/>
      <x:c r="D36" s="4"/>
      <x:c r="E36" s="4"/>
      <x:c r="F36" s="4"/>
      <x:c r="G36" s="4"/>
      <x:c r="H36" s="4"/>
      <x:c r="I36" s="4"/>
      <x:c r="J36" s="4"/>
      <x:c r="K36" s="4"/>
      <x:c r="L36" s="4"/>
    </x:row>
    <x:row r="37" ht="23" customHeight="1">
      <x:c r="A37" s="2"/>
      <x:c r="B37" s="2"/>
      <x:c r="C37" s="2"/>
      <x:c r="D37" s="4"/>
      <x:c r="E37" s="4"/>
      <x:c r="F37" s="4"/>
      <x:c r="G37" s="4"/>
      <x:c r="H37" s="4"/>
      <x:c r="I37" s="4"/>
      <x:c r="J37" s="4"/>
      <x:c r="K37" s="4"/>
      <x:c r="L37" s="4"/>
    </x:row>
    <x:row r="38" ht="23" customHeight="1">
      <x:c r="A38" s="2"/>
      <x:c r="B38" s="2"/>
      <x:c r="C38" s="2"/>
      <x:c r="D38" s="4"/>
      <x:c r="E38" s="4"/>
      <x:c r="F38" s="4"/>
      <x:c r="G38" s="4"/>
      <x:c r="H38" s="4"/>
      <x:c r="I38" s="4"/>
      <x:c r="J38" s="4"/>
      <x:c r="K38" s="4"/>
      <x:c r="L38" s="4"/>
    </x:row>
    <x:row r="39" ht="23" customHeight="1">
      <x:c r="A39" s="2"/>
      <x:c r="B39" s="2"/>
      <x:c r="C39" s="2"/>
      <x:c r="D39" s="4"/>
      <x:c r="E39" s="4"/>
      <x:c r="F39" s="4"/>
      <x:c r="G39" s="4"/>
      <x:c r="H39" s="4"/>
      <x:c r="I39" s="4"/>
      <x:c r="J39" s="4"/>
      <x:c r="K39" s="4"/>
      <x:c r="L39" s="4"/>
    </x:row>
    <x:row r="40" ht="22" customHeight="1">
      <x:c r="A40" s="2"/>
      <x:c r="B40" s="2"/>
      <x:c r="C40" s="10" t="str">
        <x:v>Next inputs: paid invoices, monthly churn, channel conversion, cost records and contract start dates.</x:v>
      </x:c>
      <x:c r="D40" s="50"/>
      <x:c r="E40" s="50"/>
      <x:c r="F40" s="50"/>
      <x:c r="G40" s="50"/>
      <x:c r="H40" s="50"/>
      <x:c r="I40" s="50"/>
      <x:c r="J40" s="50"/>
      <x:c r="K40" s="50"/>
      <x:c r="L40" s="50"/>
    </x:row>
    <x:row r="41" ht="22" customHeight="1">
      <x:c r="A41" s="2"/>
      <x:c r="B41" s="2"/>
      <x:c r="C41" s="10" t="str">
        <x:v>Edit Assumptions, then inspect Revenue model, P&amp;L and Market sizing. Evidence contains sources; Review contains checks.</x:v>
      </x:c>
      <x:c r="D41" s="50"/>
      <x:c r="E41" s="50"/>
      <x:c r="F41" s="50"/>
      <x:c r="G41" s="50"/>
      <x:c r="H41" s="50"/>
      <x:c r="I41" s="50"/>
      <x:c r="J41" s="50"/>
      <x:c r="K41" s="50"/>
      <x:c r="L41" s="50"/>
    </x:row>
    <x:row r="42" ht="23" customHeight="1">
      <x:c r="A42" s="2"/>
      <x:c r="B42" s="2"/>
      <x:c r="C42" s="2"/>
      <x:c r="D42" s="4"/>
      <x:c r="E42" s="4"/>
      <x:c r="F42" s="4"/>
      <x:c r="G42" s="4"/>
      <x:c r="H42" s="4"/>
      <x:c r="I42" s="4"/>
      <x:c r="J42" s="4"/>
      <x:c r="K42" s="4"/>
      <x:c r="L42" s="4"/>
    </x:row>
    <x:row r="43" ht="22" customHeight="1">
      <x:c r="A43" s="2"/>
      <x:c r="B43" s="2"/>
      <x:c r="C43" s="10" t="str">
        <x:v>TAM/SAM combine broad proxies. The 10-15M retail TAM population remains unverified.</x:v>
      </x:c>
      <x:c r="D43" s="50"/>
      <x:c r="E43" s="50"/>
      <x:c r="F43" s="50"/>
      <x:c r="G43" s="50"/>
      <x:c r="H43" s="50"/>
      <x:c r="I43" s="50"/>
      <x:c r="J43" s="50"/>
      <x:c r="K43" s="50"/>
      <x:c r="L43" s="50"/>
    </x:row>
    <x:row r="44" ht="22" customHeight="1">
      <x:c r="A44" s="2"/>
      <x:c r="B44" s="2"/>
      <x:c r="C44" s="10" t="str">
        <x:v>The upper retail SAM bills app access twice on strategy accounts unless the bundle correction is applied.</x:v>
      </x:c>
      <x:c r="D44" s="50"/>
      <x:c r="E44" s="50"/>
      <x:c r="F44" s="50"/>
      <x:c r="G44" s="50"/>
      <x:c r="H44" s="50"/>
      <x:c r="I44" s="50"/>
      <x:c r="J44" s="50"/>
      <x:c r="K44" s="50"/>
      <x:c r="L44" s="50"/>
    </x:row>
    <x:row r="45" ht="22" customHeight="1">
      <x:c r="A45" s="2"/>
      <x:c r="B45" s="2"/>
      <x:c r="C45" s="10" t="str">
        <x:v>The $4.8B SAM low shown on slide 6 should round to $4.9B from its underlying calculation.</x:v>
      </x:c>
      <x:c r="D45" s="50"/>
      <x:c r="E45" s="50"/>
      <x:c r="F45" s="50"/>
      <x:c r="G45" s="50"/>
      <x:c r="H45" s="50"/>
      <x:c r="I45" s="50"/>
      <x:c r="J45" s="50"/>
      <x:c r="K45" s="50"/>
      <x:c r="L45" s="50"/>
    </x:row>
    <x:row r="46" ht="22" customHeight="1">
      <x:c r="A46" s="2"/>
      <x:c r="B46" s="2"/>
      <x:c r="C46" s="10" t="str">
        <x:v>Example assumes $500/month, no Year 1 cancellations and no new sales after October. Change these in Assumptions.</x:v>
      </x:c>
      <x:c r="D46" s="50"/>
      <x:c r="E46" s="50"/>
      <x:c r="F46" s="50"/>
      <x:c r="G46" s="50"/>
      <x:c r="H46" s="50"/>
      <x:c r="I46" s="50"/>
      <x:c r="J46" s="50"/>
      <x:c r="K46" s="50"/>
      <x:c r="L46" s="50"/>
    </x:row>
    <x:row r="47" ht="23" customHeight="1">
      <x:c r="A47" s="2"/>
      <x:c r="B47" s="2"/>
      <x:c r="C47" s="2"/>
      <x:c r="D47" s="4"/>
      <x:c r="E47" s="4"/>
      <x:c r="F47" s="4"/>
      <x:c r="G47" s="4"/>
      <x:c r="H47" s="4"/>
      <x:c r="I47" s="4"/>
      <x:c r="J47" s="4"/>
      <x:c r="K47" s="4"/>
      <x:c r="L47" s="4"/>
    </x:row>
    <x:row r="48" ht="25" customHeight="1">
      <x:c r="A48" s="2"/>
      <x:c r="B48" s="2"/>
      <x:c r="C48" s="46" t="str">
        <x:v>Strategy monthly projection through October 2027</x:v>
      </x:c>
      <x:c r="D48" s="47"/>
      <x:c r="E48" s="47"/>
      <x:c r="F48" s="47"/>
      <x:c r="G48" s="47"/>
      <x:c r="H48" s="47"/>
      <x:c r="I48" s="4"/>
      <x:c r="J48" s="4"/>
      <x:c r="K48" s="4"/>
      <x:c r="L48" s="4"/>
    </x:row>
    <x:row r="49" ht="23" customHeight="1">
      <x:c r="A49" s="2"/>
      <x:c r="B49" s="2"/>
      <x:c r="C49" s="2"/>
      <x:c r="D49" s="4"/>
      <x:c r="E49" s="4"/>
      <x:c r="F49" s="4"/>
      <x:c r="G49" s="4"/>
      <x:c r="H49" s="4"/>
      <x:c r="I49" s="4"/>
      <x:c r="J49" s="4"/>
      <x:c r="K49" s="4"/>
      <x:c r="L49" s="4"/>
    </x:row>
    <x:row r="50" ht="36" customHeight="1">
      <x:c r="A50" s="2"/>
      <x:c r="B50" s="2"/>
      <x:c r="C50" s="125" t="str">
        <x:v>Month</x:v>
      </x:c>
      <x:c r="D50" s="126" t="str">
        <x:v>Closing customers</x:v>
      </x:c>
      <x:c r="E50" s="126" t="str">
        <x:v>Average billable</x:v>
      </x:c>
      <x:c r="F50" s="126" t="str">
        <x:v>Price / month</x:v>
      </x:c>
      <x:c r="G50" s="126" t="str">
        <x:v>Revenue earned</x:v>
      </x:c>
      <x:c r="H50" s="126" t="str">
        <x:v>Cumulative revenue</x:v>
      </x:c>
      <x:c r="I50" s="4"/>
      <x:c r="J50" s="4"/>
      <x:c r="K50" s="4"/>
      <x:c r="L50" s="4"/>
    </x:row>
    <x:row r="51" ht="23" customHeight="1">
      <x:c r="A51" s="2"/>
      <x:c r="B51" s="2"/>
      <x:c r="C51" s="127" t="n">
        <x:f>'Revenue model'!I5</x:f>
        <x:v>46296</x:v>
      </x:c>
      <x:c r="D51" s="128" t="n">
        <x:f>'Revenue model'!I25</x:f>
        <x:v>500</x:v>
      </x:c>
      <x:c r="E51" s="128" t="n">
        <x:f>'Revenue model'!I26</x:f>
        <x:v>250</x:v>
      </x:c>
      <x:c r="F51" s="119" t="n">
        <x:f>'Revenue model'!I27</x:f>
        <x:v>500</x:v>
      </x:c>
      <x:c r="G51" s="119" t="n">
        <x:f>'Revenue model'!I28</x:f>
        <x:v>125000</x:v>
      </x:c>
      <x:c r="H51" s="119" t="n">
        <x:f>G51</x:f>
        <x:v>125000</x:v>
      </x:c>
      <x:c r="I51" s="4"/>
      <x:c r="J51" s="4"/>
      <x:c r="K51" s="4"/>
      <x:c r="L51" s="4"/>
    </x:row>
    <x:row r="52" ht="23" customHeight="1">
      <x:c r="A52" s="2"/>
      <x:c r="B52" s="2"/>
      <x:c r="C52" s="127" t="n">
        <x:f>'Revenue model'!J5</x:f>
        <x:v>46327</x:v>
      </x:c>
      <x:c r="D52" s="128" t="n">
        <x:f>'Revenue model'!J25</x:f>
        <x:v>500</x:v>
      </x:c>
      <x:c r="E52" s="128" t="n">
        <x:f>'Revenue model'!J26</x:f>
        <x:v>500</x:v>
      </x:c>
      <x:c r="F52" s="119" t="n">
        <x:f>'Revenue model'!J27</x:f>
        <x:v>500</x:v>
      </x:c>
      <x:c r="G52" s="119" t="n">
        <x:f>'Revenue model'!J28</x:f>
        <x:v>250000</x:v>
      </x:c>
      <x:c r="H52" s="119" t="n">
        <x:f>IF(COUNT(H51,G52)=2,H51+G52,"n.a.")</x:f>
        <x:v>375000</x:v>
      </x:c>
      <x:c r="I52" s="4"/>
      <x:c r="J52" s="4"/>
      <x:c r="K52" s="4"/>
      <x:c r="L52" s="4"/>
    </x:row>
    <x:row r="53" ht="23" customHeight="1">
      <x:c r="A53" s="2"/>
      <x:c r="B53" s="2"/>
      <x:c r="C53" s="127" t="n">
        <x:f>'Revenue model'!K5</x:f>
        <x:v>46357</x:v>
      </x:c>
      <x:c r="D53" s="128" t="n">
        <x:f>'Revenue model'!K25</x:f>
        <x:v>500</x:v>
      </x:c>
      <x:c r="E53" s="128" t="n">
        <x:f>'Revenue model'!K26</x:f>
        <x:v>500</x:v>
      </x:c>
      <x:c r="F53" s="119" t="n">
        <x:f>'Revenue model'!K27</x:f>
        <x:v>500</x:v>
      </x:c>
      <x:c r="G53" s="119" t="n">
        <x:f>'Revenue model'!K28</x:f>
        <x:v>250000</x:v>
      </x:c>
      <x:c r="H53" s="119" t="n">
        <x:f>IF(COUNT(H52,G53)=2,H52+G53,"n.a.")</x:f>
        <x:v>625000</x:v>
      </x:c>
      <x:c r="I53" s="4"/>
      <x:c r="J53" s="4"/>
      <x:c r="K53" s="4"/>
      <x:c r="L53" s="4"/>
    </x:row>
    <x:row r="54" ht="23" customHeight="1">
      <x:c r="A54" s="2"/>
      <x:c r="B54" s="2"/>
      <x:c r="C54" s="127" t="n">
        <x:f>'Revenue model'!L5</x:f>
        <x:v>46388</x:v>
      </x:c>
      <x:c r="D54" s="128" t="n">
        <x:f>'Revenue model'!L25</x:f>
        <x:v>500</x:v>
      </x:c>
      <x:c r="E54" s="128" t="n">
        <x:f>'Revenue model'!L26</x:f>
        <x:v>500</x:v>
      </x:c>
      <x:c r="F54" s="119" t="n">
        <x:f>'Revenue model'!L27</x:f>
        <x:v>500</x:v>
      </x:c>
      <x:c r="G54" s="119" t="n">
        <x:f>'Revenue model'!L28</x:f>
        <x:v>250000</x:v>
      </x:c>
      <x:c r="H54" s="119" t="n">
        <x:f>IF(COUNT(H53,G54)=2,H53+G54,"n.a.")</x:f>
        <x:v>875000</x:v>
      </x:c>
      <x:c r="I54" s="4"/>
      <x:c r="J54" s="4"/>
      <x:c r="K54" s="4"/>
      <x:c r="L54" s="4"/>
    </x:row>
    <x:row r="55" ht="23" customHeight="1">
      <x:c r="A55" s="2"/>
      <x:c r="B55" s="2"/>
      <x:c r="C55" s="127" t="n">
        <x:f>'Revenue model'!M5</x:f>
        <x:v>46419</x:v>
      </x:c>
      <x:c r="D55" s="128" t="n">
        <x:f>'Revenue model'!M25</x:f>
        <x:v>500</x:v>
      </x:c>
      <x:c r="E55" s="128" t="n">
        <x:f>'Revenue model'!M26</x:f>
        <x:v>500</x:v>
      </x:c>
      <x:c r="F55" s="119" t="n">
        <x:f>'Revenue model'!M27</x:f>
        <x:v>500</x:v>
      </x:c>
      <x:c r="G55" s="119" t="n">
        <x:f>'Revenue model'!M28</x:f>
        <x:v>250000</x:v>
      </x:c>
      <x:c r="H55" s="119" t="n">
        <x:f>IF(COUNT(H54,G55)=2,H54+G55,"n.a.")</x:f>
        <x:v>1125000</x:v>
      </x:c>
      <x:c r="I55" s="4"/>
      <x:c r="J55" s="4"/>
      <x:c r="K55" s="4"/>
      <x:c r="L55" s="4"/>
    </x:row>
    <x:row r="56" ht="23" customHeight="1">
      <x:c r="A56" s="2"/>
      <x:c r="B56" s="2"/>
      <x:c r="C56" s="127" t="n">
        <x:f>'Revenue model'!N5</x:f>
        <x:v>46447</x:v>
      </x:c>
      <x:c r="D56" s="128" t="n">
        <x:f>'Revenue model'!N25</x:f>
        <x:v>500</x:v>
      </x:c>
      <x:c r="E56" s="128" t="n">
        <x:f>'Revenue model'!N26</x:f>
        <x:v>500</x:v>
      </x:c>
      <x:c r="F56" s="119" t="n">
        <x:f>'Revenue model'!N27</x:f>
        <x:v>500</x:v>
      </x:c>
      <x:c r="G56" s="119" t="n">
        <x:f>'Revenue model'!N28</x:f>
        <x:v>250000</x:v>
      </x:c>
      <x:c r="H56" s="119" t="n">
        <x:f>IF(COUNT(H55,G56)=2,H55+G56,"n.a.")</x:f>
        <x:v>1375000</x:v>
      </x:c>
      <x:c r="I56" s="4"/>
      <x:c r="J56" s="4"/>
      <x:c r="K56" s="4"/>
      <x:c r="L56" s="4"/>
    </x:row>
    <x:row r="57" ht="23" customHeight="1">
      <x:c r="A57" s="2"/>
      <x:c r="B57" s="2"/>
      <x:c r="C57" s="127" t="n">
        <x:f>'Revenue model'!O5</x:f>
        <x:v>46478</x:v>
      </x:c>
      <x:c r="D57" s="128" t="n">
        <x:f>'Revenue model'!O25</x:f>
        <x:v>500</x:v>
      </x:c>
      <x:c r="E57" s="128" t="n">
        <x:f>'Revenue model'!O26</x:f>
        <x:v>500</x:v>
      </x:c>
      <x:c r="F57" s="119" t="n">
        <x:f>'Revenue model'!O27</x:f>
        <x:v>500</x:v>
      </x:c>
      <x:c r="G57" s="119" t="n">
        <x:f>'Revenue model'!O28</x:f>
        <x:v>250000</x:v>
      </x:c>
      <x:c r="H57" s="119" t="n">
        <x:f>IF(COUNT(H56,G57)=2,H56+G57,"n.a.")</x:f>
        <x:v>1625000</x:v>
      </x:c>
      <x:c r="I57" s="4"/>
      <x:c r="J57" s="4"/>
      <x:c r="K57" s="4"/>
      <x:c r="L57" s="4"/>
    </x:row>
    <x:row r="58" ht="23" customHeight="1">
      <x:c r="A58" s="2"/>
      <x:c r="B58" s="2"/>
      <x:c r="C58" s="127" t="n">
        <x:f>'Revenue model'!P5</x:f>
        <x:v>46508</x:v>
      </x:c>
      <x:c r="D58" s="128" t="n">
        <x:f>'Revenue model'!P25</x:f>
        <x:v>500</x:v>
      </x:c>
      <x:c r="E58" s="128" t="n">
        <x:f>'Revenue model'!P26</x:f>
        <x:v>500</x:v>
      </x:c>
      <x:c r="F58" s="119" t="n">
        <x:f>'Revenue model'!P27</x:f>
        <x:v>500</x:v>
      </x:c>
      <x:c r="G58" s="119" t="n">
        <x:f>'Revenue model'!P28</x:f>
        <x:v>250000</x:v>
      </x:c>
      <x:c r="H58" s="119" t="n">
        <x:f>IF(COUNT(H57,G58)=2,H57+G58,"n.a.")</x:f>
        <x:v>1875000</x:v>
      </x:c>
      <x:c r="I58" s="4"/>
      <x:c r="J58" s="4"/>
      <x:c r="K58" s="4"/>
      <x:c r="L58" s="4"/>
    </x:row>
    <x:row r="59" ht="23" customHeight="1">
      <x:c r="A59" s="2"/>
      <x:c r="B59" s="2"/>
      <x:c r="C59" s="127" t="n">
        <x:f>'Revenue model'!Q5</x:f>
        <x:v>46539</x:v>
      </x:c>
      <x:c r="D59" s="128" t="n">
        <x:f>'Revenue model'!Q25</x:f>
        <x:v>500</x:v>
      </x:c>
      <x:c r="E59" s="128" t="n">
        <x:f>'Revenue model'!Q26</x:f>
        <x:v>500</x:v>
      </x:c>
      <x:c r="F59" s="119" t="n">
        <x:f>'Revenue model'!Q27</x:f>
        <x:v>500</x:v>
      </x:c>
      <x:c r="G59" s="119" t="n">
        <x:f>'Revenue model'!Q28</x:f>
        <x:v>250000</x:v>
      </x:c>
      <x:c r="H59" s="119" t="n">
        <x:f>IF(COUNT(H58,G59)=2,H58+G59,"n.a.")</x:f>
        <x:v>2125000</x:v>
      </x:c>
      <x:c r="I59" s="4"/>
      <x:c r="J59" s="4"/>
      <x:c r="K59" s="4"/>
      <x:c r="L59" s="4"/>
    </x:row>
    <x:row r="60" ht="23" customHeight="1">
      <x:c r="A60" s="2"/>
      <x:c r="B60" s="2"/>
      <x:c r="C60" s="127" t="n">
        <x:f>'Revenue model'!R5</x:f>
        <x:v>46569</x:v>
      </x:c>
      <x:c r="D60" s="128" t="n">
        <x:f>'Revenue model'!R25</x:f>
        <x:v>500</x:v>
      </x:c>
      <x:c r="E60" s="128" t="n">
        <x:f>'Revenue model'!R26</x:f>
        <x:v>500</x:v>
      </x:c>
      <x:c r="F60" s="119" t="n">
        <x:f>'Revenue model'!R27</x:f>
        <x:v>500</x:v>
      </x:c>
      <x:c r="G60" s="119" t="n">
        <x:f>'Revenue model'!R28</x:f>
        <x:v>250000</x:v>
      </x:c>
      <x:c r="H60" s="119" t="n">
        <x:f>IF(COUNT(H59,G60)=2,H59+G60,"n.a.")</x:f>
        <x:v>2375000</x:v>
      </x:c>
      <x:c r="I60" s="4"/>
      <x:c r="J60" s="4"/>
      <x:c r="K60" s="4"/>
      <x:c r="L60" s="4"/>
    </x:row>
    <x:row r="61" ht="23" customHeight="1">
      <x:c r="A61" s="2"/>
      <x:c r="B61" s="2"/>
      <x:c r="C61" s="127" t="n">
        <x:f>'Revenue model'!S5</x:f>
        <x:v>46600</x:v>
      </x:c>
      <x:c r="D61" s="128" t="n">
        <x:f>'Revenue model'!S25</x:f>
        <x:v>500</x:v>
      </x:c>
      <x:c r="E61" s="128" t="n">
        <x:f>'Revenue model'!S26</x:f>
        <x:v>500</x:v>
      </x:c>
      <x:c r="F61" s="119" t="n">
        <x:f>'Revenue model'!S27</x:f>
        <x:v>500</x:v>
      </x:c>
      <x:c r="G61" s="119" t="n">
        <x:f>'Revenue model'!S28</x:f>
        <x:v>250000</x:v>
      </x:c>
      <x:c r="H61" s="119" t="n">
        <x:f>IF(COUNT(H60,G61)=2,H60+G61,"n.a.")</x:f>
        <x:v>2625000</x:v>
      </x:c>
      <x:c r="I61" s="4"/>
      <x:c r="J61" s="4"/>
      <x:c r="K61" s="4"/>
      <x:c r="L61" s="4"/>
    </x:row>
    <x:row r="62" ht="23" customHeight="1">
      <x:c r="A62" s="2"/>
      <x:c r="B62" s="2"/>
      <x:c r="C62" s="127" t="n">
        <x:f>'Revenue model'!T5</x:f>
        <x:v>46631</x:v>
      </x:c>
      <x:c r="D62" s="128" t="n">
        <x:f>'Revenue model'!T25</x:f>
        <x:v>500</x:v>
      </x:c>
      <x:c r="E62" s="128" t="n">
        <x:f>'Revenue model'!T26</x:f>
        <x:v>500</x:v>
      </x:c>
      <x:c r="F62" s="119" t="n">
        <x:f>'Revenue model'!T27</x:f>
        <x:v>500</x:v>
      </x:c>
      <x:c r="G62" s="119" t="n">
        <x:f>'Revenue model'!T28</x:f>
        <x:v>250000</x:v>
      </x:c>
      <x:c r="H62" s="119" t="n">
        <x:f>IF(COUNT(H61,G62)=2,H61+G62,"n.a.")</x:f>
        <x:v>2875000</x:v>
      </x:c>
      <x:c r="I62" s="4"/>
      <x:c r="J62" s="4"/>
      <x:c r="K62" s="4"/>
      <x:c r="L62" s="4"/>
    </x:row>
    <x:row r="63" ht="23" customHeight="1">
      <x:c r="A63" s="2"/>
      <x:c r="B63" s="2"/>
      <x:c r="C63" s="127" t="n">
        <x:f>'Revenue model'!U5</x:f>
        <x:v>46661</x:v>
      </x:c>
      <x:c r="D63" s="128" t="n">
        <x:f>'Revenue model'!U25</x:f>
        <x:v>500</x:v>
      </x:c>
      <x:c r="E63" s="128" t="n">
        <x:f>'Revenue model'!U26</x:f>
        <x:v>500</x:v>
      </x:c>
      <x:c r="F63" s="119" t="n">
        <x:f>'Revenue model'!U27</x:f>
        <x:v>500</x:v>
      </x:c>
      <x:c r="G63" s="119" t="n">
        <x:f>'Revenue model'!U28</x:f>
        <x:v>250000</x:v>
      </x:c>
      <x:c r="H63" s="119" t="n">
        <x:f>IF(COUNT(H62,G63)=2,H62+G63,"n.a.")</x:f>
        <x:v>3125000</x:v>
      </x:c>
      <x:c r="I63" s="4"/>
      <x:c r="J63" s="4"/>
      <x:c r="K63" s="4"/>
      <x:c r="L63" s="4"/>
    </x:row>
    <x:row r="64" ht="23" customHeight="1">
      <x:c r="A64" s="2"/>
      <x:c r="B64" s="2"/>
      <x:c r="C64" s="2"/>
      <x:c r="D64" s="4"/>
      <x:c r="E64" s="4"/>
      <x:c r="F64" s="4"/>
      <x:c r="G64" s="4"/>
      <x:c r="H64" s="4"/>
      <x:c r="I64" s="4"/>
      <x:c r="J64" s="4"/>
      <x:c r="K64" s="4"/>
      <x:c r="L64" s="4"/>
    </x:row>
    <x:row r="65" ht="25" customHeight="1">
      <x:c r="A65" s="2"/>
      <x:c r="B65" s="2"/>
      <x:c r="C65" s="84" t="str">
        <x:v>Year 1: Nov 2026-Oct 2027</x:v>
      </x:c>
      <x:c r="D65" s="89"/>
      <x:c r="E65" s="89"/>
      <x:c r="F65" s="89"/>
      <x:c r="G65" s="124" t="n">
        <x:f>'Revenue model'!D64</x:f>
        <x:v>3000000</x:v>
      </x:c>
      <x:c r="H65" s="89"/>
      <x:c r="I65" s="4"/>
      <x:c r="J65" s="4"/>
      <x:c r="K65" s="4"/>
      <x:c r="L65" s="4"/>
    </x:row>
    <x:row r="66" ht="34" customHeight="1">
      <x:c r="A66" s="2"/>
      <x:c r="B66" s="2"/>
      <x:c r="C66" s="106" t="str">
        <x:v>Launch plus Year 1: 13 calendar months</x:v>
      </x:c>
      <x:c r="D66" s="58"/>
      <x:c r="E66" s="58"/>
      <x:c r="F66" s="58"/>
      <x:c r="G66" s="129" t="n">
        <x:f>'Revenue model'!D71</x:f>
        <x:v>3125000</x:v>
      </x:c>
      <x:c r="H66" s="58"/>
    </x:row>
    <x:row r="67" ht="23" customHeight="1">
      <x:c r="A67" s="2"/>
      <x:c r="B67" s="2"/>
      <x:c r="C67" s="2"/>
      <x:c r="D67" s="4"/>
      <x:c r="E67" s="4"/>
      <x:c r="F67" s="4"/>
      <x:c r="G67" s="4"/>
      <x:c r="H67" s="4"/>
    </x:row>
    <x:row r="68" ht="22" customHeight="1">
      <x:c r="A68" s="2"/>
      <x:c r="B68" s="2"/>
      <x:c r="C68" s="10" t="str">
        <x:v>October launch uses half-month billing ($125,000). The following 12 full months produce $3M in this example.</x:v>
      </x:c>
      <x:c r="D68" s="50"/>
      <x:c r="E68" s="50"/>
      <x:c r="F68" s="50"/>
      <x:c r="G68" s="50"/>
      <x:c r="H68" s="50"/>
      <x:c r="I68" s="130"/>
      <x:c r="J68" s="130"/>
      <x:c r="K68" s="130"/>
      <x:c r="L68" s="130"/>
    </x:row>
    <x:row r="69" ht="23" customHeight="1">
      <x:c r="A69" s="2"/>
      <x:c r="B69" s="2"/>
      <x:c r="C69" s="2"/>
      <x:c r="D69" s="4"/>
      <x:c r="E69" s="4"/>
      <x:c r="F69" s="4"/>
      <x:c r="G69" s="4"/>
      <x:c r="H69" s="4"/>
    </x:row>
    <x:row r="70" ht="23" customHeight="1">
      <x:c r="A70" s="2"/>
      <x:c r="B70" s="2"/>
      <x:c r="C70" s="2"/>
      <x:c r="D70" s="4"/>
      <x:c r="E70" s="4"/>
      <x:c r="F70" s="4"/>
      <x:c r="G70" s="4"/>
      <x:c r="H70" s="4"/>
    </x:row>
    <x:row r="71" ht="23" customHeight="1">
      <x:c r="A71" s="2"/>
      <x:c r="B71" s="2"/>
      <x:c r="C71" s="2"/>
      <x:c r="D71" s="4"/>
      <x:c r="E71" s="4"/>
      <x:c r="F71" s="4"/>
      <x:c r="G71" s="4"/>
      <x:c r="H71" s="4"/>
    </x:row>
    <x:row r="72" ht="23" customHeight="1">
      <x:c r="A72" s="2"/>
      <x:c r="B72" s="2"/>
      <x:c r="C72" s="2"/>
      <x:c r="D72" s="4"/>
      <x:c r="E72" s="4"/>
      <x:c r="F72" s="4"/>
      <x:c r="G72" s="4"/>
      <x:c r="H72" s="4"/>
    </x:row>
    <x:row r="73" ht="23" customHeight="1">
      <x:c r="A73" s="2"/>
      <x:c r="B73" s="2"/>
      <x:c r="C73" s="2"/>
      <x:c r="D73" s="4"/>
      <x:c r="E73" s="4"/>
      <x:c r="F73" s="4"/>
      <x:c r="G73" s="4"/>
      <x:c r="H73" s="4"/>
    </x:row>
    <x:row r="74" ht="23" customHeight="1">
      <x:c r="A74" s="2"/>
      <x:c r="B74" s="2"/>
      <x:c r="C74" s="2"/>
      <x:c r="D74" s="4"/>
      <x:c r="E74" s="4"/>
      <x:c r="F74" s="4"/>
      <x:c r="G74" s="4"/>
      <x:c r="H74" s="4"/>
    </x:row>
    <x:row r="75" ht="23" customHeight="1">
      <x:c r="A75" s="2"/>
      <x:c r="B75" s="2"/>
      <x:c r="C75" s="2"/>
      <x:c r="D75" s="4"/>
      <x:c r="E75" s="4"/>
      <x:c r="F75" s="4"/>
      <x:c r="G75" s="4"/>
      <x:c r="H75" s="4"/>
      <x:c r="J75" t="str">
        <x:v>Year</x:v>
      </x:c>
      <x:c r="K75" t="str">
        <x:v>Exit annualized revenue</x:v>
      </x:c>
      <x:c r="L75" t="str">
        <x:v>Revenue earned in year</x:v>
      </x:c>
    </x:row>
    <x:row r="76" ht="23" customHeight="1">
      <x:c r="A76" s="2"/>
      <x:c r="B76" s="2"/>
      <x:c r="C76" s="2"/>
      <x:c r="D76" s="4"/>
      <x:c r="E76" s="4"/>
      <x:c r="F76" s="4"/>
      <x:c r="G76" s="4"/>
      <x:c r="H76" s="4"/>
      <x:c r="J76" t="str">
        <x:v>Year 1</x:v>
      </x:c>
      <x:c r="K76" s="132" t="n">
        <x:f>D19</x:f>
        <x:v>3270000</x:v>
      </x:c>
      <x:c r="L76" s="132" t="n">
        <x:f>D21</x:f>
        <x:v>3135000</x:v>
      </x:c>
    </x:row>
    <x:row r="77" ht="23" customHeight="1">
      <x:c r="A77" s="2"/>
      <x:c r="B77" s="2"/>
      <x:c r="C77" s="2"/>
      <x:c r="D77" s="4"/>
      <x:c r="E77" s="4"/>
      <x:c r="F77" s="4"/>
      <x:c r="G77" s="4"/>
      <x:c r="H77" s="4"/>
      <x:c r="J77" t="str">
        <x:v>Year 2</x:v>
      </x:c>
      <x:c r="K77" s="132" t="n">
        <x:f>E19</x:f>
        <x:v>10679999.999999996</x:v>
      </x:c>
      <x:c r="L77" s="132" t="n">
        <x:f>E21</x:f>
        <x:v>7874999.999999998</x:v>
      </x:c>
    </x:row>
    <x:row r="78" ht="23" customHeight="1">
      <x:c r="A78" s="2"/>
      <x:c r="B78" s="2"/>
      <x:c r="C78" s="2"/>
      <x:c r="D78" s="4"/>
      <x:c r="E78" s="4"/>
      <x:c r="F78" s="4"/>
      <x:c r="G78" s="4"/>
      <x:c r="H78" s="4"/>
      <x:c r="J78" t="str">
        <x:v>Year 3</x:v>
      </x:c>
      <x:c r="K78" s="132" t="n">
        <x:f>F19</x:f>
        <x:v>36699999.99999999</x:v>
      </x:c>
      <x:c r="L78" s="132" t="n">
        <x:f>F21</x:f>
        <x:v>24889999.999999996</x:v>
      </x:c>
    </x:row>
    <x:row r="79" ht="23" customHeight="1">
      <x:c r="A79" s="2"/>
      <x:c r="B79" s="2"/>
      <x:c r="C79" s="2"/>
      <x:c r="D79" s="4"/>
      <x:c r="E79" s="4"/>
      <x:c r="F79" s="4"/>
      <x:c r="G79" s="4"/>
      <x:c r="H79" s="4"/>
      <x:c r="J79" t="str">
        <x:v>Year 4</x:v>
      </x:c>
      <x:c r="K79" s="132" t="n">
        <x:f>G19</x:f>
        <x:v>89400000</x:v>
      </x:c>
      <x:c r="L79" s="132" t="n">
        <x:f>G21</x:f>
        <x:v>63050000</x:v>
      </x:c>
    </x:row>
    <x:row r="80" ht="23" customHeight="1">
      <x:c r="A80" s="2"/>
      <x:c r="B80" s="2"/>
      <x:c r="C80" s="2"/>
      <x:c r="D80" s="4"/>
      <x:c r="E80" s="4"/>
      <x:c r="F80" s="4"/>
      <x:c r="G80" s="4"/>
      <x:c r="H80" s="4"/>
      <x:c r="J80" t="str">
        <x:v>Year 5</x:v>
      </x:c>
      <x:c r="K80" s="132" t="n">
        <x:f>H19</x:f>
        <x:v>186800000</x:v>
      </x:c>
      <x:c r="L80" s="132" t="n">
        <x:f>H21</x:f>
        <x:v>138100000</x:v>
      </x:c>
    </x:row>
    <x:row r="81" ht="23" customHeight="1">
      <x:c r="A81" s="2"/>
      <x:c r="B81" s="2"/>
      <x:c r="C81" s="2"/>
      <x:c r="D81" s="4"/>
      <x:c r="E81" s="4"/>
      <x:c r="F81" s="4"/>
      <x:c r="G81" s="4"/>
      <x:c r="H81" s="4"/>
    </x:row>
    <x:row r="82" ht="23" customHeight="1">
      <x:c r="A82" s="2"/>
      <x:c r="B82" s="2"/>
      <x:c r="C82" s="2"/>
      <x:c r="D82" s="4"/>
      <x:c r="E82" s="4"/>
      <x:c r="F82" s="4"/>
      <x:c r="G82" s="4"/>
      <x:c r="H82" s="4"/>
    </x:row>
    <x:row r="83" ht="23" customHeight="1">
      <x:c r="A83" s="2"/>
      <x:c r="B83" s="2"/>
      <x:c r="C83" s="2"/>
      <x:c r="D83" s="4"/>
      <x:c r="E83" s="4"/>
      <x:c r="F83" s="4"/>
      <x:c r="G83" s="4"/>
      <x:c r="H83" s="4"/>
    </x:row>
    <x:row r="84" ht="23" customHeight="1">
      <x:c r="A84" s="2"/>
      <x:c r="B84" s="2"/>
      <x:c r="C84" s="2"/>
      <x:c r="D84" s="4"/>
      <x:c r="E84" s="4"/>
      <x:c r="F84" s="4"/>
      <x:c r="G84" s="4"/>
      <x:c r="H84" s="4"/>
    </x:row>
    <x:row r="85" ht="23" customHeight="1">
      <x:c r="A85" s="2"/>
      <x:c r="B85" s="2"/>
      <x:c r="C85" s="2"/>
      <x:c r="D85" s="4"/>
      <x:c r="E85" s="4"/>
      <x:c r="F85" s="4"/>
      <x:c r="G85" s="4"/>
      <x:c r="H85" s="4"/>
    </x:row>
    <x:row r="86" ht="23" customHeight="1">
      <x:c r="A86" s="2"/>
      <x:c r="B86" s="2"/>
      <x:c r="C86" s="2"/>
      <x:c r="D86" s="4"/>
      <x:c r="E86" s="4"/>
      <x:c r="F86" s="4"/>
      <x:c r="G86" s="4"/>
      <x:c r="H86" s="4"/>
    </x:row>
    <x:row r="87" ht="23" customHeight="1">
      <x:c r="A87" s="2"/>
      <x:c r="B87" s="2"/>
      <x:c r="C87" s="2"/>
      <x:c r="D87" s="4"/>
      <x:c r="E87" s="4"/>
      <x:c r="F87" s="4"/>
      <x:c r="G87" s="4"/>
      <x:c r="H87" s="4"/>
    </x:row>
    <x:row r="88" ht="23" customHeight="1">
      <x:c r="A88" s="2"/>
      <x:c r="B88" s="2"/>
      <x:c r="C88" s="2"/>
      <x:c r="D88" s="4"/>
      <x:c r="E88" s="4"/>
      <x:c r="F88" s="4"/>
      <x:c r="G88" s="4"/>
      <x:c r="H88" s="4"/>
    </x:row>
    <x:row r="89" ht="23" customHeight="1">
      <x:c r="A89" s="2"/>
      <x:c r="B89" s="2"/>
      <x:c r="C89" s="2"/>
      <x:c r="D89" s="4"/>
      <x:c r="E89" s="4"/>
      <x:c r="F89" s="4"/>
      <x:c r="G89" s="4"/>
      <x:c r="H89" s="4"/>
    </x:row>
    <x:row r="90" ht="23" customHeight="1">
      <x:c r="A90" s="2"/>
      <x:c r="B90" s="2"/>
      <x:c r="C90" s="2"/>
      <x:c r="D90" s="4"/>
      <x:c r="E90" s="4"/>
      <x:c r="F90" s="4"/>
      <x:c r="G90" s="4"/>
      <x:c r="H90" s="4"/>
    </x:row>
  </x:sheetData>
  <x:mergeCells>
    <x:mergeCell ref="G5:L5"/>
    <x:mergeCell ref="G6:J6"/>
    <x:mergeCell ref="K6:L6"/>
    <x:mergeCell ref="G7:J7"/>
    <x:mergeCell ref="K7:L7"/>
    <x:mergeCell ref="G8:J8"/>
    <x:mergeCell ref="K8:L8"/>
    <x:mergeCell ref="G9:J9"/>
    <x:mergeCell ref="K9:L9"/>
    <x:mergeCell ref="G10:J10"/>
    <x:mergeCell ref="K10:L10"/>
    <x:mergeCell ref="G11:J11"/>
    <x:mergeCell ref="K11:L11"/>
  </x:mergeCells>
  <x:pageMargins left="0.7" right="0.7" top="0.75" bottom="0.75" header="0.3" footer="0.3"/>
  <x:drawing xmlns:r="http://schemas.openxmlformats.org/officeDocument/2006/relationships" r:id="R183e7df5a31d4934"/>
</x:worksheet>
</file>

<file path=xl/worksheets/sheet2.xml><?xml version="1.0" encoding="utf-8"?>
<x:worksheet xmlns:x="http://schemas.openxmlformats.org/spreadsheetml/2006/main">
  <x:sheetPr>
    <x:tabColor rgb="FF6A8CA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" hidden="0" customWidth="1"/>
    <x:col min="10" max="10" width="83" hidden="0" customWidth="1"/>
    <x:col min="11" max="11" width="5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1" customHeight="1">
      <x:c r="A2" s="2"/>
      <x:c r="B2" s="2"/>
      <x:c r="C2" s="6" t="str">
        <x:v>Forecast assumptions</x:v>
      </x:c>
      <x:c r="D2" s="6"/>
      <x:c r="E2" s="6"/>
      <x:c r="F2" s="6"/>
      <x:c r="G2" s="6"/>
      <x:c r="H2" s="6"/>
      <x:c r="I2" s="6"/>
      <x:c r="J2" s="6"/>
      <x:c r="K2" s="6"/>
    </x:row>
    <x:row r="3" ht="22" customHeight="1">
      <x:c r="A3" s="2"/>
      <x:c r="B3" s="2"/>
      <x:c r="C3" s="10" t="str">
        <x:v>Blue cells are editable. Amber cells need data. Green values link to source evidence.</x:v>
      </x:c>
      <x:c r="D3" s="10"/>
      <x:c r="E3" s="10"/>
      <x:c r="F3" s="10"/>
      <x:c r="G3" s="10"/>
      <x:c r="H3" s="10"/>
      <x:c r="I3" s="2"/>
      <x:c r="J3" s="2"/>
      <x:c r="K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2"/>
      <x:c r="B5" s="2"/>
      <x:c r="C5" s="15" t="str">
        <x:v>Driver</x:v>
      </x:c>
      <x:c r="D5" s="15" t="str">
        <x:v>Year 1</x:v>
      </x:c>
      <x:c r="E5" s="15" t="str">
        <x:v>Year 2</x:v>
      </x:c>
      <x:c r="F5" s="15" t="str">
        <x:v>Year 3</x:v>
      </x:c>
      <x:c r="G5" s="15" t="str">
        <x:v>Year 4</x:v>
      </x:c>
      <x:c r="H5" s="15" t="str">
        <x:v>Year 5</x:v>
      </x:c>
      <x:c r="I5" s="2"/>
      <x:c r="J5" s="8" t="str">
        <x:v>Basis / action</x:v>
      </x:c>
      <x:c r="K5" s="8" t="str">
        <x:v>Source / definition</x:v>
      </x:c>
    </x:row>
    <x:row r="6" ht="23" customHeight="1">
      <x:c r="A6" s="2"/>
      <x:c r="B6" s="2"/>
      <x:c r="C6" s="2"/>
      <x:c r="D6" s="4"/>
      <x:c r="E6" s="4"/>
      <x:c r="F6" s="4"/>
      <x:c r="G6" s="4"/>
      <x:c r="H6" s="4"/>
      <x:c r="I6" s="4"/>
      <x:c r="J6" s="9"/>
      <x:c r="K6" s="9"/>
    </x:row>
    <x:row r="7" ht="35" customHeight="1">
      <x:c r="A7" s="2"/>
      <x:c r="B7" s="2"/>
      <x:c r="C7" s="2" t="str">
        <x:v>App subscribers at year-end</x:v>
      </x:c>
      <x:c r="D7" s="41" t="n">
        <x:f>'Evidence'!E38</x:f>
        <x:v>500</x:v>
      </x:c>
      <x:c r="E7" s="41" t="n">
        <x:f>'Evidence'!F38</x:f>
        <x:v>2000</x:v>
      </x:c>
      <x:c r="F7" s="41" t="n">
        <x:f>'Evidence'!G38</x:f>
        <x:v>5000</x:v>
      </x:c>
      <x:c r="G7" s="41" t="n">
        <x:f>'Evidence'!H38</x:f>
        <x:v>10000</x:v>
      </x:c>
      <x:c r="H7" s="41" t="n">
        <x:f>'Evidence'!I38</x:f>
        <x:v>20000</x:v>
      </x:c>
      <x:c r="I7" s="4"/>
      <x:c r="J7" s="21" t="str">
        <x:v>Current deck target. Not validated customer demand.</x:v>
      </x:c>
      <x:c r="K7" s="21" t="str">
        <x:v>src/config/financial-plan.ts (main, 3eb4b39)</x:v>
      </x:c>
    </x:row>
    <x:row r="8" ht="35" customHeight="1">
      <x:c r="A8" s="2"/>
      <x:c r="B8" s="2"/>
      <x:c r="C8" s="2" t="str">
        <x:v>Strategy year-end subscriber goal</x:v>
      </x:c>
      <x:c r="D8" s="41" t="n">
        <x:f>'Evidence'!E76</x:f>
        <x:v>500</x:v>
      </x:c>
      <x:c r="E8" s="41" t="n">
        <x:f>'Evidence'!F39</x:f>
        <x:v>1000</x:v>
      </x:c>
      <x:c r="F8" s="41" t="n">
        <x:f>'Evidence'!G39</x:f>
        <x:v>2500</x:v>
      </x:c>
      <x:c r="G8" s="41" t="n">
        <x:f>'Evidence'!H39</x:f>
        <x:v>5500</x:v>
      </x:c>
      <x:c r="H8" s="41" t="n">
        <x:f>'Evidence'!I39</x:f>
        <x:v>10000</x:v>
      </x:c>
      <x:c r="I8" s="4"/>
      <x:c r="J8" s="21" t="str">
        <x:v>Year 1 goal updated to 500. Its actual forecast balance now responds to new sales and churn. Years 2-5 retain deck goals.</x:v>
      </x:c>
      <x:c r="K8" s="21" t="str">
        <x:v>Founder launch plan; later years from original deck</x:v>
      </x:c>
    </x:row>
    <x:row r="9" ht="35" customHeight="1">
      <x:c r="A9" s="2"/>
      <x:c r="B9" s="2"/>
      <x:c r="C9" s="2" t="str">
        <x:v>App price ($/month)</x:v>
      </x:c>
      <x:c r="D9" s="42" t="n">
        <x:f>'Evidence'!$E$25</x:f>
        <x:v>45</x:v>
      </x:c>
      <x:c r="E9" s="42" t="n">
        <x:f>'Evidence'!$E$25</x:f>
        <x:v>45</x:v>
      </x:c>
      <x:c r="F9" s="42" t="n">
        <x:f>'Evidence'!$E$25</x:f>
        <x:v>45</x:v>
      </x:c>
      <x:c r="G9" s="42" t="n">
        <x:f>'Evidence'!$E$25</x:f>
        <x:v>45</x:v>
      </x:c>
      <x:c r="H9" s="42" t="n">
        <x:f>'Evidence'!$E$25</x:f>
        <x:v>45</x:v>
      </x:c>
      <x:c r="I9" s="4"/>
      <x:c r="J9" s="21"/>
      <x:c r="K9" s="21" t="str">
        <x:v>src/config/financial-plan.ts (main, 3eb4b39)</x:v>
      </x:c>
    </x:row>
    <x:row r="10" ht="35" customHeight="1">
      <x:c r="A10" s="2"/>
      <x:c r="B10" s="2"/>
      <x:c r="C10" s="2" t="str">
        <x:v>Strategy price ($/month)</x:v>
      </x:c>
      <x:c r="D10" s="51" t="n">
        <x:v>500</x:v>
      </x:c>
      <x:c r="E10" s="42" t="n">
        <x:f>'Evidence'!F40</x:f>
        <x:v>800</x:v>
      </x:c>
      <x:c r="F10" s="42" t="n">
        <x:f>'Evidence'!G40</x:f>
        <x:v>1000</x:v>
      </x:c>
      <x:c r="G10" s="42" t="n">
        <x:f>'Evidence'!H40</x:f>
        <x:v>1000</x:v>
      </x:c>
      <x:c r="H10" s="42" t="n">
        <x:f>'Evidence'!I40</x:f>
        <x:v>1000</x:v>
      </x:c>
      <x:c r="I10" s="4"/>
      <x:c r="J10" s="21" t="str">
        <x:v>Year 1: illustrative $500/month blend. This is not an observed tier mix. Years 2-5 retain deck pricing.</x:v>
      </x:c>
      <x:c r="K10" s="21" t="str">
        <x:v>Editable price assumption; founder range $100-$2,500</x:v>
      </x:c>
    </x:row>
    <x:row r="11" ht="35" customHeight="1">
      <x:c r="A11" s="2"/>
      <x:c r="B11" s="2"/>
      <x:c r="C11" s="2" t="str">
        <x:v>RIA assets at year-end ($)</x:v>
      </x:c>
      <x:c r="D11" s="41" t="n">
        <x:f>'Evidence'!E41</x:f>
        <x:v>0</x:v>
      </x:c>
      <x:c r="E11" s="41" t="n">
        <x:f>'Evidence'!F41</x:f>
        <x:v>0</x:v>
      </x:c>
      <x:c r="F11" s="41" t="n">
        <x:f>'Evidence'!G41</x:f>
        <x:v>750000000</x:v>
      </x:c>
      <x:c r="G11" s="41" t="n">
        <x:f>'Evidence'!H41</x:f>
        <x:v>3000000000</x:v>
      </x:c>
      <x:c r="H11" s="41" t="n">
        <x:f>'Evidence'!I41</x:f>
        <x:v>10000000000</x:v>
      </x:c>
      <x:c r="I11" s="4"/>
      <x:c r="J11" s="21" t="str">
        <x:v>Current deck target. Not validated customer demand.</x:v>
      </x:c>
      <x:c r="K11" s="21" t="str">
        <x:v>src/config/financial-plan.ts (main, 3eb4b39)</x:v>
      </x:c>
    </x:row>
    <x:row r="12" ht="35" customHeight="1">
      <x:c r="A12" s="2"/>
      <x:c r="B12" s="2"/>
      <x:c r="C12" s="2" t="str">
        <x:v>RIA license fee (%/year)</x:v>
      </x:c>
      <x:c r="D12" s="43" t="n">
        <x:f>'Evidence'!$E$22</x:f>
        <x:v>0.004</x:v>
      </x:c>
      <x:c r="E12" s="43" t="n">
        <x:f>'Evidence'!$E$22</x:f>
        <x:v>0.004</x:v>
      </x:c>
      <x:c r="F12" s="43" t="n">
        <x:f>'Evidence'!$E$22</x:f>
        <x:v>0.004</x:v>
      </x:c>
      <x:c r="G12" s="43" t="n">
        <x:f>'Evidence'!$E$22</x:f>
        <x:v>0.004</x:v>
      </x:c>
      <x:c r="H12" s="43" t="n">
        <x:f>'Evidence'!$E$22</x:f>
        <x:v>0.004</x:v>
      </x:c>
      <x:c r="I12" s="4"/>
      <x:c r="J12" s="21"/>
      <x:c r="K12" s="21" t="str">
        <x:v>src/config/financial-plan.ts (main, 3eb4b39)</x:v>
      </x:c>
    </x:row>
    <x:row r="13" ht="35" customHeight="1">
      <x:c r="A13" s="2"/>
      <x:c r="B13" s="2"/>
      <x:c r="C13" s="2" t="str">
        <x:v>Business clients at year-end</x:v>
      </x:c>
      <x:c r="D13" s="41" t="n">
        <x:f>'Evidence'!E42</x:f>
        <x:v>0</x:v>
      </x:c>
      <x:c r="E13" s="41" t="n">
        <x:f>'Evidence'!F42</x:f>
        <x:v>0</x:v>
      </x:c>
      <x:c r="F13" s="41" t="n">
        <x:f>'Evidence'!G42</x:f>
        <x:v>5</x:v>
      </x:c>
      <x:c r="G13" s="41" t="n">
        <x:f>'Evidence'!H42</x:f>
        <x:v>30</x:v>
      </x:c>
      <x:c r="H13" s="41" t="n">
        <x:f>'Evidence'!I42</x:f>
        <x:v>80</x:v>
      </x:c>
      <x:c r="I13" s="4"/>
      <x:c r="J13" s="21" t="str">
        <x:v>Current deck target. Not validated customer demand.</x:v>
      </x:c>
      <x:c r="K13" s="21" t="str">
        <x:v>src/config/financial-plan.ts (main, 3eb4b39)</x:v>
      </x:c>
    </x:row>
    <x:row r="14" ht="35" customHeight="1">
      <x:c r="A14" s="2"/>
      <x:c r="B14" s="2"/>
      <x:c r="C14" s="2" t="str">
        <x:v>Business contract ($/year)</x:v>
      </x:c>
      <x:c r="D14" s="42" t="n">
        <x:f>'Evidence'!$E$23</x:f>
        <x:v>200000</x:v>
      </x:c>
      <x:c r="E14" s="42" t="n">
        <x:f>'Evidence'!$E$23</x:f>
        <x:v>200000</x:v>
      </x:c>
      <x:c r="F14" s="42" t="n">
        <x:f>'Evidence'!$E$23</x:f>
        <x:v>200000</x:v>
      </x:c>
      <x:c r="G14" s="42" t="n">
        <x:f>'Evidence'!$E$23</x:f>
        <x:v>200000</x:v>
      </x:c>
      <x:c r="H14" s="42" t="n">
        <x:f>'Evidence'!$E$23</x:f>
        <x:v>200000</x:v>
      </x:c>
      <x:c r="I14" s="4"/>
      <x:c r="J14" s="21"/>
      <x:c r="K14" s="21" t="str">
        <x:v>src/config/financial-plan.ts (main, 3eb4b39)</x:v>
      </x:c>
    </x:row>
    <x:row r="15" ht="35" customHeight="1">
      <x:c r="A15" s="2"/>
      <x:c r="B15" s="2"/>
      <x:c r="C15" s="59" t="str">
        <x:v>Month fraction billed for net additions</x:v>
      </x:c>
      <x:c r="D15" s="60" t="n">
        <x:v>0.5</x:v>
      </x:c>
      <x:c r="E15" s="60" t="n">
        <x:v>0.5</x:v>
      </x:c>
      <x:c r="F15" s="60" t="n">
        <x:v>0.5</x:v>
      </x:c>
      <x:c r="G15" s="60" t="n">
        <x:v>0.5</x:v>
      </x:c>
      <x:c r="H15" s="60" t="n">
        <x:v>0.5</x:v>
      </x:c>
      <x:c r="I15" s="4"/>
      <x:c r="J15" s="21" t="str">
        <x:v>Explicit modeling convention: additions spread evenly within each month.</x:v>
      </x:c>
      <x:c r="K15" s="21" t="str">
        <x:v>Analyst assumption, editable</x:v>
      </x:c>
    </x:row>
    <x:row r="16" ht="35" customHeight="1">
      <x:c r="A16" s="2"/>
      <x:c r="B16" s="2"/>
      <x:c r="C16" s="2"/>
      <x:c r="D16" s="4"/>
      <x:c r="E16" s="4"/>
      <x:c r="F16" s="4"/>
      <x:c r="G16" s="4"/>
      <x:c r="H16" s="4"/>
      <x:c r="I16" s="4"/>
      <x:c r="J16" s="21"/>
      <x:c r="K16" s="21"/>
    </x:row>
    <x:row r="17" ht="35" customHeight="1">
      <x:c r="A17" s="2"/>
      <x:c r="B17" s="2"/>
      <x:c r="C17" s="2"/>
      <x:c r="D17" s="4"/>
      <x:c r="E17" s="4"/>
      <x:c r="F17" s="4"/>
      <x:c r="G17" s="4"/>
      <x:c r="H17" s="4"/>
      <x:c r="I17" s="4"/>
      <x:c r="J17" s="21"/>
      <x:c r="K17" s="21"/>
    </x:row>
    <x:row r="18" ht="35" customHeight="1">
      <x:c r="A18" s="2"/>
      <x:c r="B18" s="2"/>
      <x:c r="C18" s="46" t="str">
        <x:v>Opening forecast balances</x:v>
      </x:c>
      <x:c r="D18" s="47"/>
      <x:c r="E18" s="47"/>
      <x:c r="F18" s="47"/>
      <x:c r="G18" s="47"/>
      <x:c r="H18" s="47"/>
      <x:c r="I18" s="4"/>
      <x:c r="J18" s="21"/>
      <x:c r="K18" s="21"/>
    </x:row>
    <x:row r="19" ht="35" customHeight="1">
      <x:c r="A19" s="2"/>
      <x:c r="B19" s="2"/>
      <x:c r="C19" s="2" t="str">
        <x:v>Opening paid app subscribers</x:v>
      </x:c>
      <x:c r="D19" s="19" t="n">
        <x:v>0</x:v>
      </x:c>
      <x:c r="E19" s="4"/>
      <x:c r="F19" s="4"/>
      <x:c r="G19" s="4"/>
      <x:c r="H19" s="4"/>
      <x:c r="I19" s="4"/>
      <x:c r="J19" s="21" t="str">
        <x:v>Pre-revenue planning start at zero. This is a forecast convention, not a billing-verified customer count.</x:v>
      </x:c>
      <x:c r="K19" s="21"/>
    </x:row>
    <x:row r="20" ht="35" customHeight="1">
      <x:c r="A20" s="2"/>
      <x:c r="B20" s="2"/>
      <x:c r="C20" s="2" t="str">
        <x:v>Opening paid strategy subscribers</x:v>
      </x:c>
      <x:c r="D20" s="19" t="n">
        <x:v>0</x:v>
      </x:c>
      <x:c r="E20" s="4"/>
      <x:c r="F20" s="4"/>
      <x:c r="G20" s="4"/>
      <x:c r="H20" s="4"/>
      <x:c r="I20" s="4"/>
      <x:c r="J20" s="21" t="str">
        <x:v>Opening balance before October onboarding. Zero is a planning convention; the 500 launch customers enter in October.</x:v>
      </x:c>
      <x:c r="K20" s="21"/>
    </x:row>
    <x:row r="21" ht="35" customHeight="1">
      <x:c r="A21" s="2"/>
      <x:c r="B21" s="2"/>
      <x:c r="C21" s="2" t="str">
        <x:v>Opening allocated RIA assets ($)</x:v>
      </x:c>
      <x:c r="D21" s="19" t="n">
        <x:v>0</x:v>
      </x:c>
      <x:c r="E21" s="4"/>
      <x:c r="F21" s="4"/>
      <x:c r="G21" s="4"/>
      <x:c r="H21" s="4"/>
      <x:c r="I21" s="4"/>
      <x:c r="J21" s="21" t="str">
        <x:v>Pre-revenue planning start at zero. This is a forecast convention, not a billing-verified customer count.</x:v>
      </x:c>
      <x:c r="K21" s="21"/>
    </x:row>
    <x:row r="22" ht="35" customHeight="1">
      <x:c r="A22" s="2"/>
      <x:c r="B22" s="2"/>
      <x:c r="C22" s="2" t="str">
        <x:v>Opening business clients</x:v>
      </x:c>
      <x:c r="D22" s="19" t="n">
        <x:v>0</x:v>
      </x:c>
      <x:c r="E22" s="4"/>
      <x:c r="F22" s="4"/>
      <x:c r="G22" s="4"/>
      <x:c r="H22" s="4"/>
      <x:c r="I22" s="4"/>
      <x:c r="J22" s="21" t="str">
        <x:v>Pre-revenue planning start at zero. This is a forecast convention, not a billing-verified customer count.</x:v>
      </x:c>
      <x:c r="K22" s="21"/>
    </x:row>
    <x:row r="23" ht="35" customHeight="1">
      <x:c r="A23" s="2"/>
      <x:c r="B23" s="2"/>
      <x:c r="C23" s="2"/>
      <x:c r="D23" s="4"/>
      <x:c r="E23" s="4"/>
      <x:c r="F23" s="4"/>
      <x:c r="G23" s="4"/>
      <x:c r="H23" s="4"/>
      <x:c r="I23" s="4"/>
      <x:c r="J23" s="21"/>
      <x:c r="K23" s="21"/>
    </x:row>
    <x:row r="24" ht="35" customHeight="1">
      <x:c r="A24" s="2"/>
      <x:c r="B24" s="2"/>
      <x:c r="C24" s="46" t="str">
        <x:v>Retention assumptions</x:v>
      </x:c>
      <x:c r="D24" s="47"/>
      <x:c r="E24" s="47"/>
      <x:c r="F24" s="47"/>
      <x:c r="G24" s="47"/>
      <x:c r="H24" s="47"/>
      <x:c r="I24" s="4"/>
      <x:c r="J24" s="21"/>
      <x:c r="K24" s="21"/>
    </x:row>
    <x:row r="25" ht="35" customHeight="1">
      <x:c r="A25" s="2"/>
      <x:c r="B25" s="2"/>
      <x:c r="C25" s="59" t="str">
        <x:v>Monthly app subscriber churn</x:v>
      </x:c>
      <x:c r="D25" s="61"/>
      <x:c r="E25" s="61"/>
      <x:c r="F25" s="61"/>
      <x:c r="G25" s="61"/>
      <x:c r="H25" s="61"/>
      <x:c r="I25" s="4"/>
      <x:c r="J25" s="21" t="str">
        <x:v>Enter paid subscription churn. Clerk eight-week activity retention is not a substitute.</x:v>
      </x:c>
      <x:c r="K25" s="21"/>
    </x:row>
    <x:row r="26" ht="35" customHeight="1">
      <x:c r="A26" s="2"/>
      <x:c r="B26" s="2"/>
      <x:c r="C26" s="59" t="str">
        <x:v>Monthly strategy subscriber churn</x:v>
      </x:c>
      <x:c r="D26" s="62" t="n">
        <x:v>0</x:v>
      </x:c>
      <x:c r="E26" s="61"/>
      <x:c r="F26" s="61"/>
      <x:c r="G26" s="61"/>
      <x:c r="H26" s="61"/>
      <x:c r="I26" s="4"/>
      <x:c r="J26" s="21" t="str">
        <x:v>Year 1 assumes 0% cancellations for the example. Change this rate and Year 1 revenue falls unless new sales replace losses.</x:v>
      </x:c>
      <x:c r="K26" s="21"/>
    </x:row>
    <x:row r="27" ht="35" customHeight="1">
      <x:c r="A27" s="2"/>
      <x:c r="B27" s="2"/>
      <x:c r="C27" s="10" t="str">
        <x:v>Year 1 strategies use new sales less cancellations. Other streams and later years retain target-based growth.</x:v>
      </x:c>
      <x:c r="D27" s="50"/>
      <x:c r="E27" s="50"/>
      <x:c r="F27" s="50"/>
      <x:c r="G27" s="50"/>
      <x:c r="H27" s="50"/>
      <x:c r="I27" s="4"/>
      <x:c r="J27" s="21"/>
      <x:c r="K27" s="21"/>
    </x:row>
    <x:row r="28" ht="35" customHeight="1">
      <x:c r="A28" s="2"/>
      <x:c r="B28" s="2"/>
      <x:c r="C28" s="2"/>
      <x:c r="D28" s="4"/>
      <x:c r="E28" s="4"/>
      <x:c r="F28" s="4"/>
      <x:c r="G28" s="4"/>
      <x:c r="H28" s="4"/>
      <x:c r="I28" s="4"/>
      <x:c r="J28" s="21"/>
      <x:c r="K28" s="21"/>
    </x:row>
    <x:row r="29" ht="35" customHeight="1">
      <x:c r="A29" s="2"/>
      <x:c r="B29" s="2"/>
      <x:c r="C29" s="46" t="str">
        <x:v>Cost assumptions</x:v>
      </x:c>
      <x:c r="D29" s="47"/>
      <x:c r="E29" s="47"/>
      <x:c r="F29" s="47"/>
      <x:c r="G29" s="47"/>
      <x:c r="H29" s="47"/>
      <x:c r="I29" s="4"/>
      <x:c r="J29" s="21"/>
      <x:c r="K29" s="21"/>
    </x:row>
    <x:row r="30" ht="35" customHeight="1">
      <x:c r="A30" s="2"/>
      <x:c r="B30" s="2"/>
      <x:c r="C30" s="2" t="str">
        <x:v>App delivery cost ($/user/month)</x:v>
      </x:c>
      <x:c r="D30" s="51"/>
      <x:c r="E30" s="51"/>
      <x:c r="F30" s="51"/>
      <x:c r="G30" s="51"/>
      <x:c r="H30" s="51"/>
      <x:c r="I30" s="4"/>
      <x:c r="J30" s="21" t="str">
        <x:v>Missing input. Enter a supported value, including explicit zero if applicable.</x:v>
      </x:c>
      <x:c r="K30" s="21" t="str">
        <x:v>Invoices, payroll, campaign records or contracts needed</x:v>
      </x:c>
    </x:row>
    <x:row r="31" ht="35" customHeight="1">
      <x:c r="A31" s="2"/>
      <x:c r="B31" s="2"/>
      <x:c r="C31" s="2" t="str">
        <x:v>Strategy delivery cost ($/sub/month)</x:v>
      </x:c>
      <x:c r="D31" s="51"/>
      <x:c r="E31" s="51"/>
      <x:c r="F31" s="51"/>
      <x:c r="G31" s="51"/>
      <x:c r="H31" s="51"/>
      <x:c r="I31" s="4"/>
      <x:c r="J31" s="21" t="str">
        <x:v>Missing input. Enter a supported value, including explicit zero if applicable.</x:v>
      </x:c>
      <x:c r="K31" s="21" t="str">
        <x:v>Invoices, payroll, campaign records or contracts needed</x:v>
      </x:c>
    </x:row>
    <x:row r="32" ht="35" customHeight="1">
      <x:c r="A32" s="2"/>
      <x:c r="B32" s="2"/>
      <x:c r="C32" s="59" t="str">
        <x:v>Payment processing (% of revenue)</x:v>
      </x:c>
      <x:c r="D32" s="61"/>
      <x:c r="E32" s="61"/>
      <x:c r="F32" s="61"/>
      <x:c r="G32" s="61"/>
      <x:c r="H32" s="61"/>
      <x:c r="I32" s="4"/>
      <x:c r="J32" s="21" t="str">
        <x:v>Missing input. Enter a supported value, including explicit zero if applicable.</x:v>
      </x:c>
      <x:c r="K32" s="21" t="str">
        <x:v>Invoices, payroll, campaign records or contracts needed</x:v>
      </x:c>
    </x:row>
    <x:row r="33" ht="35" customHeight="1">
      <x:c r="A33" s="2"/>
      <x:c r="B33" s="2"/>
      <x:c r="C33" s="59" t="str">
        <x:v>Partner-sourced share of retail revenue</x:v>
      </x:c>
      <x:c r="D33" s="61"/>
      <x:c r="E33" s="61"/>
      <x:c r="F33" s="61"/>
      <x:c r="G33" s="61"/>
      <x:c r="H33" s="61"/>
      <x:c r="I33" s="4"/>
      <x:c r="J33" s="21" t="str">
        <x:v>Missing input. Enter a supported value, including explicit zero if applicable.</x:v>
      </x:c>
      <x:c r="K33" s="21" t="str">
        <x:v>Invoices, payroll, campaign records or contracts needed</x:v>
      </x:c>
    </x:row>
    <x:row r="34" ht="35" customHeight="1">
      <x:c r="A34" s="2"/>
      <x:c r="B34" s="2"/>
      <x:c r="C34" s="59" t="str">
        <x:v>Partner commission on referred revenue</x:v>
      </x:c>
      <x:c r="D34" s="61"/>
      <x:c r="E34" s="61"/>
      <x:c r="F34" s="61"/>
      <x:c r="G34" s="61"/>
      <x:c r="H34" s="61"/>
      <x:c r="I34" s="4"/>
      <x:c r="J34" s="21" t="str">
        <x:v>Missing input. Enter a supported value, including explicit zero if applicable.</x:v>
      </x:c>
      <x:c r="K34" s="21" t="str">
        <x:v>Invoices, payroll, campaign records or contracts needed</x:v>
      </x:c>
    </x:row>
    <x:row r="35" ht="35" customHeight="1">
      <x:c r="A35" s="2"/>
      <x:c r="B35" s="2"/>
      <x:c r="C35" s="2" t="str">
        <x:v>Marketing spend ($/month)</x:v>
      </x:c>
      <x:c r="D35" s="51"/>
      <x:c r="E35" s="51"/>
      <x:c r="F35" s="51"/>
      <x:c r="G35" s="51"/>
      <x:c r="H35" s="51"/>
      <x:c r="I35" s="4"/>
      <x:c r="J35" s="21" t="str">
        <x:v>Missing input. Enter a supported value, including explicit zero if applicable.</x:v>
      </x:c>
      <x:c r="K35" s="21" t="str">
        <x:v>Invoices, payroll, campaign records or contracts needed</x:v>
      </x:c>
    </x:row>
    <x:row r="36" ht="35" customHeight="1">
      <x:c r="A36" s="2"/>
      <x:c r="B36" s="2"/>
      <x:c r="C36" s="2" t="str">
        <x:v>Engineering paid FTE</x:v>
      </x:c>
      <x:c r="D36" s="52"/>
      <x:c r="E36" s="52"/>
      <x:c r="F36" s="52"/>
      <x:c r="G36" s="52"/>
      <x:c r="H36" s="52"/>
      <x:c r="I36" s="4"/>
      <x:c r="J36" s="21" t="str">
        <x:v>Missing input. Enter a supported value, including explicit zero if applicable.</x:v>
      </x:c>
      <x:c r="K36" s="21" t="str">
        <x:v>Invoices, payroll, campaign records or contracts needed</x:v>
      </x:c>
    </x:row>
    <x:row r="37" ht="35" customHeight="1">
      <x:c r="A37" s="2"/>
      <x:c r="B37" s="2"/>
      <x:c r="C37" s="2" t="str">
        <x:v>Sales and support paid FTE</x:v>
      </x:c>
      <x:c r="D37" s="52"/>
      <x:c r="E37" s="52"/>
      <x:c r="F37" s="52"/>
      <x:c r="G37" s="52"/>
      <x:c r="H37" s="52"/>
      <x:c r="I37" s="4"/>
      <x:c r="J37" s="21" t="str">
        <x:v>Missing input. Enter a supported value, including explicit zero if applicable.</x:v>
      </x:c>
      <x:c r="K37" s="21" t="str">
        <x:v>Invoices, payroll, campaign records or contracts needed</x:v>
      </x:c>
    </x:row>
    <x:row r="38" ht="35" customHeight="1">
      <x:c r="A38" s="2"/>
      <x:c r="B38" s="2"/>
      <x:c r="C38" s="2" t="str">
        <x:v>G&amp;A paid FTE</x:v>
      </x:c>
      <x:c r="D38" s="52"/>
      <x:c r="E38" s="52"/>
      <x:c r="F38" s="52"/>
      <x:c r="G38" s="52"/>
      <x:c r="H38" s="52"/>
      <x:c r="I38" s="4"/>
      <x:c r="J38" s="21" t="str">
        <x:v>Missing input. Enter a supported value, including explicit zero if applicable.</x:v>
      </x:c>
      <x:c r="K38" s="21" t="str">
        <x:v>Invoices, payroll, campaign records or contracts needed</x:v>
      </x:c>
    </x:row>
    <x:row r="39" ht="35" customHeight="1">
      <x:c r="A39" s="2"/>
      <x:c r="B39" s="2"/>
      <x:c r="C39" s="2" t="str">
        <x:v>Fully loaded cost ($/FTE/month)</x:v>
      </x:c>
      <x:c r="D39" s="51"/>
      <x:c r="E39" s="51"/>
      <x:c r="F39" s="51"/>
      <x:c r="G39" s="51"/>
      <x:c r="H39" s="51"/>
      <x:c r="I39" s="4"/>
      <x:c r="J39" s="21" t="str">
        <x:v>Missing input. Enter a supported value, including explicit zero if applicable.</x:v>
      </x:c>
      <x:c r="K39" s="21" t="str">
        <x:v>Invoices, payroll, campaign records or contracts needed</x:v>
      </x:c>
    </x:row>
    <x:row r="40" ht="35" customHeight="1">
      <x:c r="A40" s="2"/>
      <x:c r="B40" s="2"/>
      <x:c r="C40" s="2" t="str">
        <x:v>Other operating costs ($/month)</x:v>
      </x:c>
      <x:c r="D40" s="51"/>
      <x:c r="E40" s="51"/>
      <x:c r="F40" s="51"/>
      <x:c r="G40" s="51"/>
      <x:c r="H40" s="51"/>
      <x:c r="I40" s="4"/>
      <x:c r="J40" s="21" t="str">
        <x:v>Missing input. Enter a supported value, including explicit zero if applicable.</x:v>
      </x:c>
      <x:c r="K40" s="21" t="str">
        <x:v>Invoices, payroll, campaign records or contracts needed</x:v>
      </x:c>
    </x:row>
    <x:row r="41" ht="35" customHeight="1">
      <x:c r="A41" s="2"/>
      <x:c r="B41" s="2"/>
      <x:c r="C41" s="59" t="str">
        <x:v>Institutional direct cost (% of revenue)</x:v>
      </x:c>
      <x:c r="D41" s="61"/>
      <x:c r="E41" s="61"/>
      <x:c r="F41" s="61"/>
      <x:c r="G41" s="61"/>
      <x:c r="H41" s="61"/>
      <x:c r="I41" s="4"/>
      <x:c r="J41" s="21" t="str">
        <x:v>Missing input. Enter a supported value, including explicit zero if applicable.</x:v>
      </x:c>
      <x:c r="K41" s="21" t="str">
        <x:v>Invoices, payroll, campaign records or contracts needed</x:v>
      </x:c>
    </x:row>
    <x:row r="42" ht="23" customHeight="1">
      <x:c r="A42" s="2"/>
      <x:c r="B42" s="2"/>
      <x:c r="C42" s="2"/>
      <x:c r="D42" s="4"/>
      <x:c r="E42" s="4"/>
      <x:c r="F42" s="4"/>
      <x:c r="G42" s="4"/>
      <x:c r="H42" s="4"/>
      <x:c r="I42" s="4"/>
      <x:c r="J42" s="9"/>
      <x:c r="K42" s="9"/>
    </x:row>
    <x:row r="43" ht="22" customHeight="1">
      <x:c r="A43" s="2"/>
      <x:c r="B43" s="2"/>
      <x:c r="C43" s="10" t="str">
        <x:v>Costs are positive inputs. Delivery costs exclude payroll; staff are fully included in operating expenses.</x:v>
      </x:c>
      <x:c r="D43" s="50"/>
      <x:c r="E43" s="50"/>
      <x:c r="F43" s="50"/>
      <x:c r="G43" s="50"/>
      <x:c r="H43" s="50"/>
      <x:c r="I43" s="4"/>
      <x:c r="J43" s="9"/>
      <x:c r="K43" s="9"/>
    </x:row>
    <x:row r="44" ht="22" customHeight="1">
      <x:c r="A44" s="2"/>
      <x:c r="B44" s="2"/>
      <x:c r="C44" s="10" t="str">
        <x:v>Marketing excludes partner commissions and payroll. Other operating costs include legal, rent and business software.</x:v>
      </x:c>
      <x:c r="D44" s="50"/>
      <x:c r="E44" s="50"/>
      <x:c r="F44" s="50"/>
      <x:c r="G44" s="50"/>
      <x:c r="H44" s="50"/>
      <x:c r="I44" s="4"/>
      <x:c r="J44" s="9"/>
      <x:c r="K44" s="9"/>
    </x:row>
    <x:row r="45" ht="23" customHeight="1">
      <x:c r="A45" s="2"/>
      <x:c r="B45" s="2"/>
      <x:c r="C45" s="2"/>
      <x:c r="D45" s="4"/>
      <x:c r="E45" s="4"/>
      <x:c r="F45" s="4"/>
      <x:c r="G45" s="4"/>
      <x:c r="H45" s="4"/>
      <x:c r="I45" s="4"/>
      <x:c r="J45" s="9"/>
      <x:c r="K45" s="9"/>
    </x:row>
    <x:row r="46" ht="22" customHeight="1">
      <x:c r="A46" s="2"/>
      <x:c r="B46" s="2"/>
      <x:c r="C46" s="10" t="str">
        <x:v>October 2026 is the launch month. Year 1 covers November 2026 through October 2027.</x:v>
      </x:c>
      <x:c r="D46" s="50"/>
      <x:c r="E46" s="50"/>
      <x:c r="F46" s="50"/>
      <x:c r="G46" s="50"/>
      <x:c r="H46" s="50"/>
      <x:c r="I46" s="4"/>
      <x:c r="J46" s="9"/>
      <x:c r="K46" s="9"/>
    </x:row>
    <x:row r="47" ht="22" customHeight="1">
      <x:c r="A47" s="2"/>
      <x:c r="B47" s="2"/>
      <x:c r="C47" s="10" t="str">
        <x:v>Year-specific pricing applies to all billable balances in that year. Validate repricing and equity-tier mix.</x:v>
      </x:c>
      <x:c r="D47" s="50"/>
      <x:c r="E47" s="50"/>
      <x:c r="F47" s="50"/>
      <x:c r="G47" s="50"/>
      <x:c r="H47" s="50"/>
      <x:c r="I47" s="4"/>
      <x:c r="J47" s="9"/>
      <x:c r="K47" s="9"/>
    </x:row>
    <x:row r="48" ht="23" customHeight="1">
      <x:c r="A48" s="2"/>
      <x:c r="B48" s="2"/>
      <x:c r="C48" s="2"/>
      <x:c r="D48" s="4"/>
      <x:c r="E48" s="4"/>
      <x:c r="F48" s="4"/>
      <x:c r="G48" s="4"/>
      <x:c r="H48" s="4"/>
      <x:c r="I48" s="4"/>
      <x:c r="J48" s="4"/>
      <x:c r="K48" s="4"/>
    </x:row>
    <x:row r="49" ht="25" customHeight="1">
      <x:c r="A49" s="2"/>
      <x:c r="B49" s="2"/>
      <x:c r="C49" s="46" t="str">
        <x:v>October 2026 strategy launch and first full service year</x:v>
      </x:c>
      <x:c r="D49" s="47"/>
      <x:c r="E49" s="47"/>
      <x:c r="F49" s="47"/>
      <x:c r="G49" s="47"/>
      <x:c r="H49" s="47"/>
      <x:c r="I49" s="4"/>
      <x:c r="J49" s="4"/>
      <x:c r="K49" s="4"/>
    </x:row>
    <x:row r="50" ht="45" customHeight="1">
      <x:c r="A50" s="2"/>
      <x:c r="B50" s="2"/>
      <x:c r="C50" s="2" t="str">
        <x:v>Launch month</x:v>
      </x:c>
      <x:c r="D50" s="57" t="n">
        <x:f>'Evidence'!E74</x:f>
        <x:v>46296</x:v>
      </x:c>
      <x:c r="E50" s="4"/>
      <x:c r="F50" s="4"/>
      <x:c r="G50" s="4"/>
      <x:c r="H50" s="4"/>
      <x:c r="I50" s="4"/>
      <x:c r="J50" s="21" t="str">
        <x:v>Year 1 is November 2026 to October 2027. October onboarding is a separate launch month.</x:v>
      </x:c>
      <x:c r="K50" s="21" t="str">
        <x:v>Founder planning input</x:v>
      </x:c>
    </x:row>
    <x:row r="51" ht="45" customHeight="1">
      <x:c r="A51" s="2"/>
      <x:c r="B51" s="2"/>
      <x:c r="C51" s="2" t="str">
        <x:v>October new paid customers</x:v>
      </x:c>
      <x:c r="D51" s="41" t="n">
        <x:f>'Evidence'!E76</x:f>
        <x:v>500</x:v>
      </x:c>
      <x:c r="E51" s="4"/>
      <x:c r="F51" s="4"/>
      <x:c r="G51" s="4"/>
      <x:c r="H51" s="4"/>
      <x:c r="I51" s="4"/>
      <x:c r="J51" s="21" t="str">
        <x:v>Founder plans 500+ paid customers in October. Use 500, not an observed current paid balance.</x:v>
      </x:c>
      <x:c r="K51" s="21" t="str">
        <x:v>Founder planning input</x:v>
      </x:c>
    </x:row>
    <x:row r="52" ht="45" customHeight="1">
      <x:c r="A52" s="2"/>
      <x:c r="B52" s="2"/>
      <x:c r="C52" s="2" t="str">
        <x:v>October fraction of month billed</x:v>
      </x:c>
      <x:c r="D52" s="53" t="n">
        <x:v>0.5</x:v>
      </x:c>
      <x:c r="E52" s="4"/>
      <x:c r="F52" s="4"/>
      <x:c r="G52" s="4"/>
      <x:c r="H52" s="4"/>
      <x:c r="I52" s="4"/>
      <x:c r="J52" s="21" t="str">
        <x:v>Illustrative half-month billing because customers onboard during October. Set 1 for a full month.</x:v>
      </x:c>
      <x:c r="K52" s="21" t="str">
        <x:v>Editable analyst assumption</x:v>
      </x:c>
    </x:row>
    <x:row r="53" ht="45" customHeight="1">
      <x:c r="A53" s="2"/>
      <x:c r="B53" s="2"/>
      <x:c r="C53" s="2" t="str">
        <x:v>Revenue target by October 2027</x:v>
      </x:c>
      <x:c r="D53" s="42" t="n">
        <x:f>'Evidence'!E77</x:f>
        <x:v>3000000</x:v>
      </x:c>
      <x:c r="E53" s="4"/>
      <x:c r="F53" s="4"/>
      <x:c r="G53" s="4"/>
      <x:c r="H53" s="4"/>
      <x:c r="I53" s="4"/>
      <x:c r="J53" s="21" t="str">
        <x:v>Working interpretation: $3M earned during the first 12 full service months. Not a measured result.</x:v>
      </x:c>
      <x:c r="K53" s="21" t="str">
        <x:v>Founder planning input</x:v>
      </x:c>
    </x:row>
    <x:row r="54" ht="45" customHeight="1">
      <x:c r="A54" s="2"/>
      <x:c r="B54" s="2"/>
      <x:c r="C54" s="2" t="str">
        <x:v>New strategy customers / month, Year 1</x:v>
      </x:c>
      <x:c r="D54" s="54" t="n">
        <x:v>0</x:v>
      </x:c>
      <x:c r="E54" s="4"/>
      <x:c r="F54" s="4"/>
      <x:c r="G54" s="4"/>
      <x:c r="H54" s="4"/>
      <x:c r="I54" s="4"/>
      <x:c r="J54" s="21" t="str">
        <x:v>Illustrative zero additions after launch. Enter expected monthly paid additions for November through October.</x:v>
      </x:c>
      <x:c r="K54" s="21" t="str">
        <x:v>Editable analyst assumption</x:v>
      </x:c>
    </x:row>
    <x:row r="55" ht="45" customHeight="1">
      <x:c r="A55" s="2"/>
      <x:c r="B55" s="2"/>
      <x:c r="C55" s="2" t="str">
        <x:v>Target checkpoint</x:v>
      </x:c>
      <x:c r="D55" s="57" t="n">
        <x:f>'Evidence'!E75</x:f>
        <x:v>46691</x:v>
      </x:c>
      <x:c r="E55" s="4"/>
      <x:c r="F55" s="4"/>
      <x:c r="G55" s="4"/>
      <x:c r="H55" s="4"/>
      <x:c r="I55" s="4"/>
      <x:c r="J55" s="21" t="str">
        <x:v>October 2027 checkpoint. Annual columns each cover 12 months, not 13.</x:v>
      </x:c>
      <x:c r="K55" s="21" t="str">
        <x:v>Founder planning input</x:v>
      </x:c>
    </x:row>
    <x:row r="56" ht="45" customHeight="1">
      <x:c r="A56" s="2"/>
      <x:c r="B56" s="2"/>
      <x:c r="C56" s="2" t="str">
        <x:v>Strategy price range minimum</x:v>
      </x:c>
      <x:c r="D56" s="42" t="n">
        <x:f>'Evidence'!E78</x:f>
        <x:v>100</x:v>
      </x:c>
      <x:c r="E56" s="4"/>
      <x:c r="F56" s="4"/>
      <x:c r="G56" s="4"/>
      <x:c r="H56" s="4"/>
      <x:c r="I56" s="4"/>
      <x:c r="J56" s="21" t="str">
        <x:v>Founder range. Monthly frequency is assumed for this working projection.</x:v>
      </x:c>
      <x:c r="K56" s="21" t="str">
        <x:v>Founder planning input</x:v>
      </x:c>
    </x:row>
    <x:row r="57" ht="45" customHeight="1">
      <x:c r="A57" s="2"/>
      <x:c r="B57" s="2"/>
      <x:c r="C57" s="2" t="str">
        <x:v>Strategy price range maximum</x:v>
      </x:c>
      <x:c r="D57" s="42" t="n">
        <x:f>'Evidence'!E79</x:f>
        <x:v>2500</x:v>
      </x:c>
      <x:c r="E57" s="4"/>
      <x:c r="F57" s="4"/>
      <x:c r="G57" s="4"/>
      <x:c r="H57" s="4"/>
      <x:c r="I57" s="4"/>
      <x:c r="J57" s="21" t="str">
        <x:v>The actual customer split across price tiers remains unknown.</x:v>
      </x:c>
      <x:c r="K57" s="21" t="str">
        <x:v>Founder planning input</x:v>
      </x:c>
    </x:row>
    <x:row r="58" ht="35" customHeight="1">
      <x:c r="A58" s="2"/>
      <x:c r="B58" s="2"/>
      <x:c r="C58" s="2"/>
      <x:c r="D58" s="4"/>
      <x:c r="E58" s="4"/>
      <x:c r="F58" s="4"/>
      <x:c r="G58" s="4"/>
      <x:c r="H58" s="4"/>
      <x:c r="I58" s="4"/>
      <x:c r="J58" s="4"/>
      <x:c r="K58" s="4"/>
    </x:row>
    <x:row r="59" ht="35" customHeight="1">
      <x:c r="A59" s="2"/>
      <x:c r="B59" s="2"/>
      <x:c r="C59" s="2"/>
      <x:c r="D59" s="4"/>
      <x:c r="E59" s="4"/>
      <x:c r="F59" s="4"/>
      <x:c r="G59" s="4"/>
      <x:c r="H59" s="4"/>
      <x:c r="I59" s="2"/>
      <x:c r="J59" s="2"/>
      <x:c r="K59" s="2"/>
    </x:row>
    <x:row r="60" ht="35" customHeight="1">
      <x:c r="A60" s="2"/>
      <x:c r="B60" s="2"/>
      <x:c r="C60" s="2"/>
      <x:c r="D60" s="4"/>
      <x:c r="E60" s="4"/>
      <x:c r="F60" s="4"/>
      <x:c r="G60" s="4"/>
      <x:c r="H60" s="4"/>
      <x:c r="I60" s="2"/>
      <x:c r="J60" s="2"/>
      <x:c r="K60" s="2"/>
    </x:row>
    <x:row r="61" ht="35" customHeight="1">
      <x:c r="A61" s="2"/>
      <x:c r="B61" s="2"/>
      <x:c r="C61" s="2"/>
      <x:c r="D61" s="4"/>
      <x:c r="E61" s="4"/>
      <x:c r="F61" s="4"/>
      <x:c r="G61" s="4"/>
      <x:c r="H61" s="4"/>
      <x:c r="I61" s="2"/>
      <x:c r="J61" s="2"/>
      <x:c r="K61" s="2"/>
    </x:row>
    <x:row r="62" ht="35" customHeight="1">
      <x:c r="A62" s="2"/>
      <x:c r="B62" s="2"/>
      <x:c r="C62" s="2"/>
      <x:c r="D62" s="4"/>
      <x:c r="E62" s="4"/>
      <x:c r="F62" s="4"/>
      <x:c r="G62" s="4"/>
      <x:c r="H62" s="4"/>
      <x:c r="I62" s="2"/>
      <x:c r="J62" s="2"/>
      <x:c r="K62" s="2"/>
    </x:row>
    <x:row r="63" ht="23" customHeight="1">
      <x:c r="A63" s="2"/>
      <x:c r="B63" s="2"/>
      <x:c r="C63" s="2"/>
      <x:c r="D63" s="4"/>
      <x:c r="E63" s="4"/>
      <x:c r="F63" s="4"/>
      <x:c r="G63" s="4"/>
      <x:c r="H63" s="4"/>
    </x:row>
    <x:row r="64" ht="23" customHeight="1">
      <x:c r="A64" s="2"/>
      <x:c r="B64" s="2"/>
      <x:c r="C64" s="2"/>
      <x:c r="D64" s="4"/>
      <x:c r="E64" s="4"/>
      <x:c r="F64" s="4"/>
      <x:c r="G64" s="4"/>
      <x:c r="H64" s="4"/>
    </x:row>
    <x:row r="65" ht="23" customHeight="1">
      <x:c r="A65" s="2"/>
      <x:c r="B65" s="2"/>
      <x:c r="C65" s="2"/>
      <x:c r="D65" s="4"/>
      <x:c r="E65" s="4"/>
      <x:c r="F65" s="4"/>
      <x:c r="G65" s="4"/>
      <x:c r="H65" s="4"/>
    </x:row>
    <x:row r="66" ht="23" customHeight="1">
      <x:c r="A66" s="2"/>
      <x:c r="B66" s="2"/>
      <x:c r="C66" s="2"/>
      <x:c r="D66" s="4"/>
      <x:c r="E66" s="4"/>
      <x:c r="F66" s="4"/>
      <x:c r="G66" s="4"/>
      <x:c r="H66" s="4"/>
    </x:row>
    <x:row r="67" ht="23" customHeight="1">
      <x:c r="A67" s="2"/>
      <x:c r="B67" s="2"/>
      <x:c r="C67" s="2"/>
      <x:c r="D67" s="4"/>
      <x:c r="E67" s="4"/>
      <x:c r="F67" s="4"/>
      <x:c r="G67" s="4"/>
      <x:c r="H67" s="4"/>
    </x:row>
    <x:row r="68" ht="23" customHeight="1">
      <x:c r="A68" s="2"/>
      <x:c r="B68" s="2"/>
      <x:c r="C68" s="2"/>
      <x:c r="D68" s="4"/>
      <x:c r="E68" s="4"/>
      <x:c r="F68" s="4"/>
      <x:c r="G68" s="4"/>
      <x:c r="H68" s="4"/>
    </x:row>
    <x:row r="69" ht="23" customHeight="1">
      <x:c r="A69" s="2"/>
      <x:c r="B69" s="2"/>
      <x:c r="C69" s="2"/>
      <x:c r="D69" s="4"/>
      <x:c r="E69" s="4"/>
      <x:c r="F69" s="4"/>
      <x:c r="G69" s="4"/>
      <x:c r="H69" s="4"/>
    </x:row>
    <x:row r="70" ht="23" customHeight="1">
      <x:c r="A70" s="2"/>
      <x:c r="B70" s="2"/>
      <x:c r="C70" s="2"/>
      <x:c r="D70" s="4"/>
      <x:c r="E70" s="4"/>
      <x:c r="F70" s="4"/>
      <x:c r="G70" s="4"/>
      <x:c r="H70" s="4"/>
    </x:row>
    <x:row r="71" ht="23" customHeight="1">
      <x:c r="A71" s="2"/>
      <x:c r="B71" s="2"/>
      <x:c r="C71" s="2"/>
      <x:c r="D71" s="4"/>
      <x:c r="E71" s="4"/>
      <x:c r="F71" s="4"/>
      <x:c r="G71" s="4"/>
      <x:c r="H71" s="4"/>
    </x:row>
    <x:row r="72" ht="23" customHeight="1">
      <x:c r="A72" s="2"/>
      <x:c r="B72" s="2"/>
      <x:c r="C72" s="2"/>
      <x:c r="D72" s="4"/>
      <x:c r="E72" s="4"/>
      <x:c r="F72" s="4"/>
      <x:c r="G72" s="4"/>
      <x:c r="H72" s="4"/>
    </x:row>
    <x:row r="73" ht="23" customHeight="1">
      <x:c r="A73" s="2"/>
      <x:c r="B73" s="2"/>
      <x:c r="C73" s="2"/>
      <x:c r="D73" s="4"/>
      <x:c r="E73" s="4"/>
      <x:c r="F73" s="4"/>
      <x:c r="G73" s="4"/>
      <x:c r="H73" s="4"/>
    </x:row>
    <x:row r="74" ht="23" customHeight="1">
      <x:c r="A74" s="2"/>
      <x:c r="B74" s="2"/>
      <x:c r="C74" s="2"/>
      <x:c r="D74" s="4"/>
      <x:c r="E74" s="4"/>
      <x:c r="F74" s="4"/>
      <x:c r="G74" s="4"/>
      <x:c r="H74" s="4"/>
    </x:row>
    <x:row r="75" ht="23" customHeight="1">
      <x:c r="A75" s="2"/>
      <x:c r="B75" s="2"/>
      <x:c r="C75" s="2"/>
      <x:c r="D75" s="4"/>
      <x:c r="E75" s="4"/>
      <x:c r="F75" s="4"/>
      <x:c r="G75" s="4"/>
      <x:c r="H75" s="4"/>
    </x:row>
    <x:row r="76" ht="23" customHeight="1">
      <x:c r="A76" s="2"/>
      <x:c r="B76" s="2"/>
      <x:c r="C76" s="2"/>
      <x:c r="D76" s="4"/>
      <x:c r="E76" s="4"/>
      <x:c r="F76" s="4"/>
      <x:c r="G76" s="4"/>
      <x:c r="H76" s="4"/>
    </x:row>
    <x:row r="77" ht="23" customHeight="1">
      <x:c r="A77" s="2"/>
      <x:c r="B77" s="2"/>
      <x:c r="C77" s="2"/>
      <x:c r="D77" s="4"/>
      <x:c r="E77" s="4"/>
      <x:c r="F77" s="4"/>
      <x:c r="G77" s="4"/>
      <x:c r="H77" s="4"/>
    </x:row>
    <x:row r="78" ht="23" customHeight="1">
      <x:c r="A78" s="2"/>
      <x:c r="B78" s="2"/>
      <x:c r="C78" s="2"/>
      <x:c r="D78" s="4"/>
      <x:c r="E78" s="4"/>
      <x:c r="F78" s="4"/>
      <x:c r="G78" s="4"/>
      <x:c r="H78" s="4"/>
    </x:row>
    <x:row r="79" ht="23" customHeight="1">
      <x:c r="A79" s="2"/>
      <x:c r="B79" s="2"/>
      <x:c r="C79" s="2"/>
      <x:c r="D79" s="4"/>
      <x:c r="E79" s="4"/>
      <x:c r="F79" s="4"/>
      <x:c r="G79" s="4"/>
      <x:c r="H79" s="4"/>
    </x:row>
    <x:row r="80" ht="23" customHeight="1">
      <x:c r="A80" s="2"/>
      <x:c r="B80" s="2"/>
      <x:c r="C80" s="2"/>
      <x:c r="D80" s="4"/>
      <x:c r="E80" s="4"/>
      <x:c r="F80" s="4"/>
      <x:c r="G80" s="4"/>
      <x:c r="H80" s="4"/>
    </x:row>
    <x:row r="81" ht="23" customHeight="1">
      <x:c r="A81" s="2"/>
      <x:c r="B81" s="2"/>
      <x:c r="C81" s="2"/>
      <x:c r="D81" s="4"/>
      <x:c r="E81" s="4"/>
      <x:c r="F81" s="4"/>
      <x:c r="G81" s="4"/>
      <x:c r="H81" s="4"/>
    </x:row>
    <x:row r="82" ht="23" customHeight="1">
      <x:c r="A82" s="2"/>
      <x:c r="B82" s="2"/>
      <x:c r="C82" s="2"/>
      <x:c r="D82" s="4"/>
      <x:c r="E82" s="4"/>
      <x:c r="F82" s="4"/>
      <x:c r="G82" s="4"/>
      <x:c r="H82" s="4"/>
    </x:row>
    <x:row r="83" ht="23" customHeight="1">
      <x:c r="A83" s="2"/>
      <x:c r="B83" s="2"/>
      <x:c r="C83" s="2"/>
      <x:c r="D83" s="4"/>
      <x:c r="E83" s="4"/>
      <x:c r="F83" s="4"/>
      <x:c r="G83" s="4"/>
      <x:c r="H83" s="4"/>
    </x:row>
    <x:row r="84" ht="23" customHeight="1">
      <x:c r="A84" s="2"/>
      <x:c r="B84" s="2"/>
      <x:c r="C84" s="2"/>
      <x:c r="D84" s="4"/>
      <x:c r="E84" s="4"/>
      <x:c r="F84" s="4"/>
      <x:c r="G84" s="4"/>
      <x:c r="H84" s="4"/>
    </x:row>
    <x:row r="85" ht="23" customHeight="1">
      <x:c r="A85" s="2"/>
      <x:c r="B85" s="2"/>
      <x:c r="C85" s="2"/>
      <x:c r="D85" s="4"/>
      <x:c r="E85" s="4"/>
      <x:c r="F85" s="4"/>
      <x:c r="G85" s="4"/>
      <x:c r="H85" s="4"/>
    </x:row>
    <x:row r="86" ht="23" customHeight="1">
      <x:c r="A86" s="2"/>
      <x:c r="B86" s="2"/>
      <x:c r="C86" s="2"/>
      <x:c r="D86" s="4"/>
      <x:c r="E86" s="4"/>
      <x:c r="F86" s="4"/>
      <x:c r="G86" s="4"/>
      <x:c r="H86" s="4"/>
    </x:row>
    <x:row r="87" ht="23" customHeight="1">
      <x:c r="A87" s="2"/>
      <x:c r="B87" s="2"/>
      <x:c r="C87" s="2"/>
      <x:c r="D87" s="4"/>
      <x:c r="E87" s="4"/>
      <x:c r="F87" s="4"/>
      <x:c r="G87" s="4"/>
      <x:c r="H87" s="4"/>
    </x:row>
    <x:row r="88" ht="23" customHeight="1">
      <x:c r="A88" s="2"/>
      <x:c r="B88" s="2"/>
      <x:c r="C88" s="2"/>
      <x:c r="D88" s="4"/>
      <x:c r="E88" s="4"/>
      <x:c r="F88" s="4"/>
      <x:c r="G88" s="4"/>
      <x:c r="H88" s="4"/>
    </x:row>
    <x:row r="89" ht="23" customHeight="1">
      <x:c r="A89" s="2"/>
      <x:c r="B89" s="2"/>
      <x:c r="C89" s="2"/>
      <x:c r="D89" s="4"/>
      <x:c r="E89" s="4"/>
      <x:c r="F89" s="4"/>
      <x:c r="G89" s="4"/>
      <x:c r="H89" s="4"/>
    </x:row>
    <x:row r="90" ht="23" customHeight="1">
      <x:c r="A90" s="2"/>
      <x:c r="B90" s="2"/>
      <x:c r="C90" s="2"/>
      <x:c r="D90" s="4"/>
      <x:c r="E90" s="4"/>
      <x:c r="F90" s="4"/>
      <x:c r="G90" s="4"/>
      <x:c r="H90" s="4"/>
    </x:row>
  </x:sheetData>
  <x:dataValidations count="10">
    <x:dataValidation type="decimal" operator="between" sqref="D52">
      <x:formula1>0</x:formula1>
      <x:formula2>1</x:formula2>
    </x:dataValidation>
    <x:dataValidation type="whole" operator="greaterThanOrEqual" sqref="D54">
      <x:formula1>0</x:formula1>
    </x:dataValidation>
    <x:dataValidation type="decimal" operator="between" sqref="D10">
      <x:formula1>$D$56</x:formula1>
      <x:formula2>$D$57</x:formula2>
    </x:dataValidation>
    <x:dataValidation type="decimal" operator="between" sqref="D15:H15">
      <x:formula1>0</x:formula1>
      <x:formula2>1</x:formula2>
    </x:dataValidation>
    <x:dataValidation type="decimal" operator="between" sqref="D25:H25">
      <x:formula1>0</x:formula1>
      <x:formula2>1</x:formula2>
    </x:dataValidation>
    <x:dataValidation type="decimal" operator="between" sqref="D26:H26">
      <x:formula1>0</x:formula1>
      <x:formula2>1</x:formula2>
    </x:dataValidation>
    <x:dataValidation type="decimal" operator="between" sqref="D32:H32">
      <x:formula1>0</x:formula1>
      <x:formula2>1</x:formula2>
    </x:dataValidation>
    <x:dataValidation type="decimal" operator="between" sqref="D33:H33">
      <x:formula1>0</x:formula1>
      <x:formula2>1</x:formula2>
    </x:dataValidation>
    <x:dataValidation type="decimal" operator="between" sqref="D34:H34">
      <x:formula1>0</x:formula1>
      <x:formula2>1</x:formula2>
    </x:dataValidation>
    <x:dataValidation type="decimal" operator="between" sqref="D41:H41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</x:row>
    <x:row r="2" ht="31" customHeight="1">
      <x:c r="A2" s="2"/>
      <x:c r="B2" s="2"/>
      <x:c r="C2" s="6" t="str">
        <x:v>Monthly revenue and customer requirements</x:v>
      </x:c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  <x:c r="AP2" s="6"/>
      <x:c r="AQ2" s="6"/>
      <x:c r="AR2" s="6"/>
      <x:c r="AS2" s="6"/>
      <x:c r="AT2" s="6"/>
      <x:c r="AU2" s="6"/>
      <x:c r="AV2" s="6"/>
      <x:c r="AW2" s="6"/>
      <x:c r="AX2" s="6"/>
      <x:c r="AY2" s="6"/>
      <x:c r="AZ2" s="6"/>
      <x:c r="BA2" s="6"/>
      <x:c r="BB2" s="6"/>
      <x:c r="BC2" s="6"/>
      <x:c r="BD2" s="6"/>
      <x:c r="BE2" s="6"/>
      <x:c r="BF2" s="6"/>
      <x:c r="BG2" s="6"/>
      <x:c r="BH2" s="6"/>
      <x:c r="BI2" s="6"/>
      <x:c r="BJ2" s="6"/>
      <x:c r="BK2" s="6"/>
      <x:c r="BL2" s="6"/>
      <x:c r="BM2" s="6"/>
      <x:c r="BN2" s="6"/>
      <x:c r="BO2" s="6"/>
      <x:c r="BP2" s="6"/>
      <x:c r="BQ2" s="6"/>
    </x:row>
    <x:row r="3" ht="22" customHeight="1">
      <x:c r="A3" s="2"/>
      <x:c r="B3" s="2"/>
      <x:c r="C3" s="10" t="str">
        <x:v>October launch plus five full service years. Year 1 strategies respond to new sales and churn. USD unless labeled.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  <x:c r="AJ3" s="10"/>
      <x:c r="AK3" s="10"/>
      <x:c r="AL3" s="10"/>
      <x:c r="AM3" s="10"/>
      <x:c r="AN3" s="10"/>
      <x:c r="AO3" s="10"/>
      <x:c r="AP3" s="10"/>
      <x:c r="AQ3" s="10"/>
      <x:c r="AR3" s="10"/>
      <x:c r="AS3" s="10"/>
      <x:c r="AT3" s="10"/>
      <x:c r="AU3" s="10"/>
      <x:c r="AV3" s="10"/>
      <x:c r="AW3" s="10"/>
      <x:c r="AX3" s="10"/>
      <x:c r="AY3" s="10"/>
      <x:c r="AZ3" s="10"/>
      <x:c r="BA3" s="10"/>
      <x:c r="BB3" s="10"/>
      <x:c r="BC3" s="10"/>
      <x:c r="BD3" s="10"/>
      <x:c r="BE3" s="10"/>
      <x:c r="BF3" s="10"/>
      <x:c r="BG3" s="10"/>
      <x:c r="BH3" s="10"/>
      <x:c r="BI3" s="10"/>
      <x:c r="BJ3" s="10"/>
      <x:c r="BK3" s="10"/>
      <x:c r="BL3" s="10"/>
      <x:c r="BM3" s="10"/>
      <x:c r="BN3" s="10"/>
      <x:c r="BO3" s="10"/>
      <x:c r="BP3" s="10"/>
      <x:c r="BQ3" s="10"/>
    </x:row>
    <x:row r="4" ht="23" customHeight="1">
      <x:c r="A4" s="2"/>
      <x:c r="B4" s="2"/>
      <x:c r="C4" s="2"/>
      <x:c r="D4" s="68" t="str">
        <x:v>Nov 2026-Oct 2027</x:v>
      </x:c>
      <x:c r="E4" s="68" t="str">
        <x:v>Nov 2027-Oct 2028</x:v>
      </x:c>
      <x:c r="F4" s="68" t="str">
        <x:v>Nov 2028-Oct 2029</x:v>
      </x:c>
      <x:c r="G4" s="68" t="str">
        <x:v>Nov 2029-Oct 2030</x:v>
      </x:c>
      <x:c r="H4" s="68" t="str">
        <x:v>Nov 2030-Oct 2031</x:v>
      </x:c>
      <x:c r="I4" s="68" t="str">
        <x:v>Launch only</x:v>
      </x:c>
      <x:c r="J4" s="68"/>
      <x:c r="K4" s="68"/>
      <x:c r="L4" s="68"/>
      <x:c r="M4" s="68"/>
      <x:c r="N4" s="68"/>
      <x:c r="O4" s="68"/>
      <x:c r="P4" s="68"/>
      <x:c r="Q4" s="68"/>
      <x:c r="R4" s="68"/>
      <x:c r="S4" s="68"/>
      <x:c r="T4" s="68"/>
      <x:c r="U4" s="68"/>
      <x:c r="V4" s="68"/>
      <x:c r="W4" s="68"/>
      <x:c r="X4" s="68"/>
      <x:c r="Y4" s="68"/>
      <x:c r="Z4" s="68"/>
      <x:c r="AA4" s="68"/>
      <x:c r="AB4" s="68"/>
      <x:c r="AC4" s="68"/>
      <x:c r="AD4" s="68"/>
      <x:c r="AE4" s="68"/>
      <x:c r="AF4" s="68"/>
      <x:c r="AG4" s="68"/>
      <x:c r="AH4" s="68"/>
      <x:c r="AI4" s="68"/>
      <x:c r="AJ4" s="68"/>
      <x:c r="AK4" s="68"/>
      <x:c r="AL4" s="68"/>
      <x:c r="AM4" s="68"/>
      <x:c r="AN4" s="68"/>
      <x:c r="AO4" s="68"/>
      <x:c r="AP4" s="68"/>
      <x:c r="AQ4" s="68"/>
      <x:c r="AR4" s="68"/>
      <x:c r="AS4" s="68"/>
      <x:c r="AT4" s="68"/>
      <x:c r="AU4" s="68"/>
      <x:c r="AV4" s="68"/>
      <x:c r="AW4" s="68"/>
      <x:c r="AX4" s="68"/>
      <x:c r="AY4" s="68"/>
      <x:c r="AZ4" s="68"/>
      <x:c r="BA4" s="68"/>
      <x:c r="BB4" s="68"/>
      <x:c r="BC4" s="68"/>
      <x:c r="BD4" s="68"/>
      <x:c r="BE4" s="68"/>
      <x:c r="BF4" s="68"/>
      <x:c r="BG4" s="68"/>
      <x:c r="BH4" s="68"/>
      <x:c r="BI4" s="68"/>
      <x:c r="BJ4" s="68"/>
      <x:c r="BK4" s="68"/>
      <x:c r="BL4" s="68"/>
      <x:c r="BM4" s="68"/>
      <x:c r="BN4" s="68"/>
      <x:c r="BO4" s="68"/>
      <x:c r="BP4" s="68"/>
      <x:c r="BQ4" s="68"/>
    </x:row>
    <x:row r="5" ht="30" customHeight="1">
      <x:c r="A5" s="2"/>
      <x:c r="B5" s="2"/>
      <x:c r="C5" s="15" t="str">
        <x:v>Metric</x:v>
      </x:c>
      <x:c r="D5" s="15" t="str">
        <x:v>Year 1</x:v>
      </x:c>
      <x:c r="E5" s="15" t="str">
        <x:v>Year 2</x:v>
      </x:c>
      <x:c r="F5" s="15" t="str">
        <x:v>Year 3</x:v>
      </x:c>
      <x:c r="G5" s="15" t="str">
        <x:v>Year 4</x:v>
      </x:c>
      <x:c r="H5" s="15" t="str">
        <x:v>Year 5</x:v>
      </x:c>
      <x:c r="I5" s="67" t="n">
        <x:f>'Assumptions'!$D$50</x:f>
        <x:v>46296</x:v>
      </x:c>
      <x:c r="J5" s="67" t="n">
        <x:f>EDATE(I5,1)</x:f>
        <x:v>46327</x:v>
      </x:c>
      <x:c r="K5" s="67" t="n">
        <x:f>EDATE(J5,1)</x:f>
        <x:v>46357</x:v>
      </x:c>
      <x:c r="L5" s="67" t="n">
        <x:f>EDATE(K5,1)</x:f>
        <x:v>46388</x:v>
      </x:c>
      <x:c r="M5" s="67" t="n">
        <x:f>EDATE(L5,1)</x:f>
        <x:v>46419</x:v>
      </x:c>
      <x:c r="N5" s="67" t="n">
        <x:f>EDATE(M5,1)</x:f>
        <x:v>46447</x:v>
      </x:c>
      <x:c r="O5" s="67" t="n">
        <x:f>EDATE(N5,1)</x:f>
        <x:v>46478</x:v>
      </x:c>
      <x:c r="P5" s="67" t="n">
        <x:f>EDATE(O5,1)</x:f>
        <x:v>46508</x:v>
      </x:c>
      <x:c r="Q5" s="67" t="n">
        <x:f>EDATE(P5,1)</x:f>
        <x:v>46539</x:v>
      </x:c>
      <x:c r="R5" s="67" t="n">
        <x:f>EDATE(Q5,1)</x:f>
        <x:v>46569</x:v>
      </x:c>
      <x:c r="S5" s="67" t="n">
        <x:f>EDATE(R5,1)</x:f>
        <x:v>46600</x:v>
      </x:c>
      <x:c r="T5" s="67" t="n">
        <x:f>EDATE(S5,1)</x:f>
        <x:v>46631</x:v>
      </x:c>
      <x:c r="U5" s="67" t="n">
        <x:f>EDATE(T5,1)</x:f>
        <x:v>46661</x:v>
      </x:c>
      <x:c r="V5" s="67" t="n">
        <x:f>EDATE(U5,1)</x:f>
        <x:v>46692</x:v>
      </x:c>
      <x:c r="W5" s="67" t="n">
        <x:f>EDATE(V5,1)</x:f>
        <x:v>46722</x:v>
      </x:c>
      <x:c r="X5" s="67" t="n">
        <x:f>EDATE(W5,1)</x:f>
        <x:v>46753</x:v>
      </x:c>
      <x:c r="Y5" s="67" t="n">
        <x:f>EDATE(X5,1)</x:f>
        <x:v>46784</x:v>
      </x:c>
      <x:c r="Z5" s="67" t="n">
        <x:f>EDATE(Y5,1)</x:f>
        <x:v>46813</x:v>
      </x:c>
      <x:c r="AA5" s="67" t="n">
        <x:f>EDATE(Z5,1)</x:f>
        <x:v>46844</x:v>
      </x:c>
      <x:c r="AB5" s="67" t="n">
        <x:f>EDATE(AA5,1)</x:f>
        <x:v>46874</x:v>
      </x:c>
      <x:c r="AC5" s="67" t="n">
        <x:f>EDATE(AB5,1)</x:f>
        <x:v>46905</x:v>
      </x:c>
      <x:c r="AD5" s="67" t="n">
        <x:f>EDATE(AC5,1)</x:f>
        <x:v>46935</x:v>
      </x:c>
      <x:c r="AE5" s="67" t="n">
        <x:f>EDATE(AD5,1)</x:f>
        <x:v>46966</x:v>
      </x:c>
      <x:c r="AF5" s="67" t="n">
        <x:f>EDATE(AE5,1)</x:f>
        <x:v>46997</x:v>
      </x:c>
      <x:c r="AG5" s="67" t="n">
        <x:f>EDATE(AF5,1)</x:f>
        <x:v>47027</x:v>
      </x:c>
      <x:c r="AH5" s="67" t="n">
        <x:f>EDATE(AG5,1)</x:f>
        <x:v>47058</x:v>
      </x:c>
      <x:c r="AI5" s="67" t="n">
        <x:f>EDATE(AH5,1)</x:f>
        <x:v>47088</x:v>
      </x:c>
      <x:c r="AJ5" s="67" t="n">
        <x:f>EDATE(AI5,1)</x:f>
        <x:v>47119</x:v>
      </x:c>
      <x:c r="AK5" s="67" t="n">
        <x:f>EDATE(AJ5,1)</x:f>
        <x:v>47150</x:v>
      </x:c>
      <x:c r="AL5" s="67" t="n">
        <x:f>EDATE(AK5,1)</x:f>
        <x:v>47178</x:v>
      </x:c>
      <x:c r="AM5" s="67" t="n">
        <x:f>EDATE(AL5,1)</x:f>
        <x:v>47209</x:v>
      </x:c>
      <x:c r="AN5" s="67" t="n">
        <x:f>EDATE(AM5,1)</x:f>
        <x:v>47239</x:v>
      </x:c>
      <x:c r="AO5" s="67" t="n">
        <x:f>EDATE(AN5,1)</x:f>
        <x:v>47270</x:v>
      </x:c>
      <x:c r="AP5" s="67" t="n">
        <x:f>EDATE(AO5,1)</x:f>
        <x:v>47300</x:v>
      </x:c>
      <x:c r="AQ5" s="67" t="n">
        <x:f>EDATE(AP5,1)</x:f>
        <x:v>47331</x:v>
      </x:c>
      <x:c r="AR5" s="67" t="n">
        <x:f>EDATE(AQ5,1)</x:f>
        <x:v>47362</x:v>
      </x:c>
      <x:c r="AS5" s="67" t="n">
        <x:f>EDATE(AR5,1)</x:f>
        <x:v>47392</x:v>
      </x:c>
      <x:c r="AT5" s="67" t="n">
        <x:f>EDATE(AS5,1)</x:f>
        <x:v>47423</x:v>
      </x:c>
      <x:c r="AU5" s="67" t="n">
        <x:f>EDATE(AT5,1)</x:f>
        <x:v>47453</x:v>
      </x:c>
      <x:c r="AV5" s="67" t="n">
        <x:f>EDATE(AU5,1)</x:f>
        <x:v>47484</x:v>
      </x:c>
      <x:c r="AW5" s="67" t="n">
        <x:f>EDATE(AV5,1)</x:f>
        <x:v>47515</x:v>
      </x:c>
      <x:c r="AX5" s="67" t="n">
        <x:f>EDATE(AW5,1)</x:f>
        <x:v>47543</x:v>
      </x:c>
      <x:c r="AY5" s="67" t="n">
        <x:f>EDATE(AX5,1)</x:f>
        <x:v>47574</x:v>
      </x:c>
      <x:c r="AZ5" s="67" t="n">
        <x:f>EDATE(AY5,1)</x:f>
        <x:v>47604</x:v>
      </x:c>
      <x:c r="BA5" s="67" t="n">
        <x:f>EDATE(AZ5,1)</x:f>
        <x:v>47635</x:v>
      </x:c>
      <x:c r="BB5" s="67" t="n">
        <x:f>EDATE(BA5,1)</x:f>
        <x:v>47665</x:v>
      </x:c>
      <x:c r="BC5" s="67" t="n">
        <x:f>EDATE(BB5,1)</x:f>
        <x:v>47696</x:v>
      </x:c>
      <x:c r="BD5" s="67" t="n">
        <x:f>EDATE(BC5,1)</x:f>
        <x:v>47727</x:v>
      </x:c>
      <x:c r="BE5" s="67" t="n">
        <x:f>EDATE(BD5,1)</x:f>
        <x:v>47757</x:v>
      </x:c>
      <x:c r="BF5" s="67" t="n">
        <x:f>EDATE(BE5,1)</x:f>
        <x:v>47788</x:v>
      </x:c>
      <x:c r="BG5" s="67" t="n">
        <x:f>EDATE(BF5,1)</x:f>
        <x:v>47818</x:v>
      </x:c>
      <x:c r="BH5" s="67" t="n">
        <x:f>EDATE(BG5,1)</x:f>
        <x:v>47849</x:v>
      </x:c>
      <x:c r="BI5" s="67" t="n">
        <x:f>EDATE(BH5,1)</x:f>
        <x:v>47880</x:v>
      </x:c>
      <x:c r="BJ5" s="67" t="n">
        <x:f>EDATE(BI5,1)</x:f>
        <x:v>47908</x:v>
      </x:c>
      <x:c r="BK5" s="67" t="n">
        <x:f>EDATE(BJ5,1)</x:f>
        <x:v>47939</x:v>
      </x:c>
      <x:c r="BL5" s="67" t="n">
        <x:f>EDATE(BK5,1)</x:f>
        <x:v>47969</x:v>
      </x:c>
      <x:c r="BM5" s="67" t="n">
        <x:f>EDATE(BL5,1)</x:f>
        <x:v>48000</x:v>
      </x:c>
      <x:c r="BN5" s="67" t="n">
        <x:f>EDATE(BM5,1)</x:f>
        <x:v>48030</x:v>
      </x:c>
      <x:c r="BO5" s="67" t="n">
        <x:f>EDATE(BN5,1)</x:f>
        <x:v>48061</x:v>
      </x:c>
      <x:c r="BP5" s="67" t="n">
        <x:f>EDATE(BO5,1)</x:f>
        <x:v>48092</x:v>
      </x:c>
      <x:c r="BQ5" s="67" t="n">
        <x:f>EDATE(BP5,1)</x:f>
        <x:v>48122</x:v>
      </x:c>
    </x:row>
    <x:row r="6" ht="23" customHeight="1">
      <x:c r="A6" s="2"/>
      <x:c r="B6" s="2"/>
      <x:c r="C6" s="2" t="str">
        <x:v>Forecast year</x:v>
      </x:c>
      <x:c r="D6" s="4"/>
      <x:c r="E6" s="4"/>
      <x:c r="F6" s="4"/>
      <x:c r="G6" s="4"/>
      <x:c r="H6" s="4"/>
      <x:c r="I6" s="4" t="n">
        <x:v>0</x:v>
      </x:c>
      <x:c r="J6" s="4" t="n">
        <x:v>1</x:v>
      </x:c>
      <x:c r="K6" s="4" t="n">
        <x:v>1</x:v>
      </x:c>
      <x:c r="L6" s="4" t="n">
        <x:v>1</x:v>
      </x:c>
      <x:c r="M6" s="4" t="n">
        <x:v>1</x:v>
      </x:c>
      <x:c r="N6" s="4" t="n">
        <x:v>1</x:v>
      </x:c>
      <x:c r="O6" s="4" t="n">
        <x:v>1</x:v>
      </x:c>
      <x:c r="P6" s="4" t="n">
        <x:v>1</x:v>
      </x:c>
      <x:c r="Q6" s="4" t="n">
        <x:v>1</x:v>
      </x:c>
      <x:c r="R6" s="4" t="n">
        <x:v>1</x:v>
      </x:c>
      <x:c r="S6" s="4" t="n">
        <x:v>1</x:v>
      </x:c>
      <x:c r="T6" s="4" t="n">
        <x:v>1</x:v>
      </x:c>
      <x:c r="U6" s="4" t="n">
        <x:v>1</x:v>
      </x:c>
      <x:c r="V6" s="4" t="n">
        <x:v>2</x:v>
      </x:c>
      <x:c r="W6" s="4" t="n">
        <x:v>2</x:v>
      </x:c>
      <x:c r="X6" s="4" t="n">
        <x:v>2</x:v>
      </x:c>
      <x:c r="Y6" s="4" t="n">
        <x:v>2</x:v>
      </x:c>
      <x:c r="Z6" s="4" t="n">
        <x:v>2</x:v>
      </x:c>
      <x:c r="AA6" s="4" t="n">
        <x:v>2</x:v>
      </x:c>
      <x:c r="AB6" s="4" t="n">
        <x:v>2</x:v>
      </x:c>
      <x:c r="AC6" s="4" t="n">
        <x:v>2</x:v>
      </x:c>
      <x:c r="AD6" s="4" t="n">
        <x:v>2</x:v>
      </x:c>
      <x:c r="AE6" s="4" t="n">
        <x:v>2</x:v>
      </x:c>
      <x:c r="AF6" s="4" t="n">
        <x:v>2</x:v>
      </x:c>
      <x:c r="AG6" s="4" t="n">
        <x:v>2</x:v>
      </x:c>
      <x:c r="AH6" s="4" t="n">
        <x:v>3</x:v>
      </x:c>
      <x:c r="AI6" s="4" t="n">
        <x:v>3</x:v>
      </x:c>
      <x:c r="AJ6" s="4" t="n">
        <x:v>3</x:v>
      </x:c>
      <x:c r="AK6" s="4" t="n">
        <x:v>3</x:v>
      </x:c>
      <x:c r="AL6" s="4" t="n">
        <x:v>3</x:v>
      </x:c>
      <x:c r="AM6" s="4" t="n">
        <x:v>3</x:v>
      </x:c>
      <x:c r="AN6" s="4" t="n">
        <x:v>3</x:v>
      </x:c>
      <x:c r="AO6" s="4" t="n">
        <x:v>3</x:v>
      </x:c>
      <x:c r="AP6" s="4" t="n">
        <x:v>3</x:v>
      </x:c>
      <x:c r="AQ6" s="4" t="n">
        <x:v>3</x:v>
      </x:c>
      <x:c r="AR6" s="4" t="n">
        <x:v>3</x:v>
      </x:c>
      <x:c r="AS6" s="4" t="n">
        <x:v>3</x:v>
      </x:c>
      <x:c r="AT6" s="4" t="n">
        <x:v>4</x:v>
      </x:c>
      <x:c r="AU6" s="4" t="n">
        <x:v>4</x:v>
      </x:c>
      <x:c r="AV6" s="4" t="n">
        <x:v>4</x:v>
      </x:c>
      <x:c r="AW6" s="4" t="n">
        <x:v>4</x:v>
      </x:c>
      <x:c r="AX6" s="4" t="n">
        <x:v>4</x:v>
      </x:c>
      <x:c r="AY6" s="4" t="n">
        <x:v>4</x:v>
      </x:c>
      <x:c r="AZ6" s="4" t="n">
        <x:v>4</x:v>
      </x:c>
      <x:c r="BA6" s="4" t="n">
        <x:v>4</x:v>
      </x:c>
      <x:c r="BB6" s="4" t="n">
        <x:v>4</x:v>
      </x:c>
      <x:c r="BC6" s="4" t="n">
        <x:v>4</x:v>
      </x:c>
      <x:c r="BD6" s="4" t="n">
        <x:v>4</x:v>
      </x:c>
      <x:c r="BE6" s="4" t="n">
        <x:v>4</x:v>
      </x:c>
      <x:c r="BF6" s="4" t="n">
        <x:v>5</x:v>
      </x:c>
      <x:c r="BG6" s="4" t="n">
        <x:v>5</x:v>
      </x:c>
      <x:c r="BH6" s="4" t="n">
        <x:v>5</x:v>
      </x:c>
      <x:c r="BI6" s="4" t="n">
        <x:v>5</x:v>
      </x:c>
      <x:c r="BJ6" s="4" t="n">
        <x:v>5</x:v>
      </x:c>
      <x:c r="BK6" s="4" t="n">
        <x:v>5</x:v>
      </x:c>
      <x:c r="BL6" s="4" t="n">
        <x:v>5</x:v>
      </x:c>
      <x:c r="BM6" s="4" t="n">
        <x:v>5</x:v>
      </x:c>
      <x:c r="BN6" s="4" t="n">
        <x:v>5</x:v>
      </x:c>
      <x:c r="BO6" s="4" t="n">
        <x:v>5</x:v>
      </x:c>
      <x:c r="BP6" s="4" t="n">
        <x:v>5</x:v>
      </x:c>
      <x:c r="BQ6" s="4" t="n">
        <x:v>5</x:v>
      </x:c>
    </x:row>
    <x:row r="7" ht="23" customHeight="1">
      <x:c r="A7" s="2"/>
      <x:c r="B7" s="2"/>
      <x:c r="C7" s="2" t="str">
        <x:v>Forecast month</x:v>
      </x:c>
      <x:c r="D7" s="4"/>
      <x:c r="E7" s="4"/>
      <x:c r="F7" s="4"/>
      <x:c r="G7" s="4"/>
      <x:c r="H7" s="4"/>
      <x:c r="I7" s="4" t="n">
        <x:v>0</x:v>
      </x:c>
      <x:c r="J7" s="4" t="n">
        <x:v>1</x:v>
      </x:c>
      <x:c r="K7" s="4" t="n">
        <x:v>2</x:v>
      </x:c>
      <x:c r="L7" s="4" t="n">
        <x:v>3</x:v>
      </x:c>
      <x:c r="M7" s="4" t="n">
        <x:v>4</x:v>
      </x:c>
      <x:c r="N7" s="4" t="n">
        <x:v>5</x:v>
      </x:c>
      <x:c r="O7" s="4" t="n">
        <x:v>6</x:v>
      </x:c>
      <x:c r="P7" s="4" t="n">
        <x:v>7</x:v>
      </x:c>
      <x:c r="Q7" s="4" t="n">
        <x:v>8</x:v>
      </x:c>
      <x:c r="R7" s="4" t="n">
        <x:v>9</x:v>
      </x:c>
      <x:c r="S7" s="4" t="n">
        <x:v>10</x:v>
      </x:c>
      <x:c r="T7" s="4" t="n">
        <x:v>11</x:v>
      </x:c>
      <x:c r="U7" s="4" t="n">
        <x:v>12</x:v>
      </x:c>
      <x:c r="V7" s="4" t="n">
        <x:v>13</x:v>
      </x:c>
      <x:c r="W7" s="4" t="n">
        <x:v>14</x:v>
      </x:c>
      <x:c r="X7" s="4" t="n">
        <x:v>15</x:v>
      </x:c>
      <x:c r="Y7" s="4" t="n">
        <x:v>16</x:v>
      </x:c>
      <x:c r="Z7" s="4" t="n">
        <x:v>17</x:v>
      </x:c>
      <x:c r="AA7" s="4" t="n">
        <x:v>18</x:v>
      </x:c>
      <x:c r="AB7" s="4" t="n">
        <x:v>19</x:v>
      </x:c>
      <x:c r="AC7" s="4" t="n">
        <x:v>20</x:v>
      </x:c>
      <x:c r="AD7" s="4" t="n">
        <x:v>21</x:v>
      </x:c>
      <x:c r="AE7" s="4" t="n">
        <x:v>22</x:v>
      </x:c>
      <x:c r="AF7" s="4" t="n">
        <x:v>23</x:v>
      </x:c>
      <x:c r="AG7" s="4" t="n">
        <x:v>24</x:v>
      </x:c>
      <x:c r="AH7" s="4" t="n">
        <x:v>25</x:v>
      </x:c>
      <x:c r="AI7" s="4" t="n">
        <x:v>26</x:v>
      </x:c>
      <x:c r="AJ7" s="4" t="n">
        <x:v>27</x:v>
      </x:c>
      <x:c r="AK7" s="4" t="n">
        <x:v>28</x:v>
      </x:c>
      <x:c r="AL7" s="4" t="n">
        <x:v>29</x:v>
      </x:c>
      <x:c r="AM7" s="4" t="n">
        <x:v>30</x:v>
      </x:c>
      <x:c r="AN7" s="4" t="n">
        <x:v>31</x:v>
      </x:c>
      <x:c r="AO7" s="4" t="n">
        <x:v>32</x:v>
      </x:c>
      <x:c r="AP7" s="4" t="n">
        <x:v>33</x:v>
      </x:c>
      <x:c r="AQ7" s="4" t="n">
        <x:v>34</x:v>
      </x:c>
      <x:c r="AR7" s="4" t="n">
        <x:v>35</x:v>
      </x:c>
      <x:c r="AS7" s="4" t="n">
        <x:v>36</x:v>
      </x:c>
      <x:c r="AT7" s="4" t="n">
        <x:v>37</x:v>
      </x:c>
      <x:c r="AU7" s="4" t="n">
        <x:v>38</x:v>
      </x:c>
      <x:c r="AV7" s="4" t="n">
        <x:v>39</x:v>
      </x:c>
      <x:c r="AW7" s="4" t="n">
        <x:v>40</x:v>
      </x:c>
      <x:c r="AX7" s="4" t="n">
        <x:v>41</x:v>
      </x:c>
      <x:c r="AY7" s="4" t="n">
        <x:v>42</x:v>
      </x:c>
      <x:c r="AZ7" s="4" t="n">
        <x:v>43</x:v>
      </x:c>
      <x:c r="BA7" s="4" t="n">
        <x:v>44</x:v>
      </x:c>
      <x:c r="BB7" s="4" t="n">
        <x:v>45</x:v>
      </x:c>
      <x:c r="BC7" s="4" t="n">
        <x:v>46</x:v>
      </x:c>
      <x:c r="BD7" s="4" t="n">
        <x:v>47</x:v>
      </x:c>
      <x:c r="BE7" s="4" t="n">
        <x:v>48</x:v>
      </x:c>
      <x:c r="BF7" s="4" t="n">
        <x:v>49</x:v>
      </x:c>
      <x:c r="BG7" s="4" t="n">
        <x:v>50</x:v>
      </x:c>
      <x:c r="BH7" s="4" t="n">
        <x:v>51</x:v>
      </x:c>
      <x:c r="BI7" s="4" t="n">
        <x:v>52</x:v>
      </x:c>
      <x:c r="BJ7" s="4" t="n">
        <x:v>53</x:v>
      </x:c>
      <x:c r="BK7" s="4" t="n">
        <x:v>54</x:v>
      </x:c>
      <x:c r="BL7" s="4" t="n">
        <x:v>55</x:v>
      </x:c>
      <x:c r="BM7" s="4" t="n">
        <x:v>56</x:v>
      </x:c>
      <x:c r="BN7" s="4" t="n">
        <x:v>57</x:v>
      </x:c>
      <x:c r="BO7" s="4" t="n">
        <x:v>58</x:v>
      </x:c>
      <x:c r="BP7" s="4" t="n">
        <x:v>59</x:v>
      </x:c>
      <x:c r="BQ7" s="4" t="n">
        <x:v>60</x:v>
      </x:c>
    </x:row>
    <x:row r="8" ht="23" customHeight="1">
      <x:c r="A8" s="2"/>
      <x:c r="B8" s="2"/>
      <x:c r="C8" s="2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  <x:c r="AR8" s="4"/>
      <x:c r="AS8" s="4"/>
      <x:c r="AT8" s="4"/>
      <x:c r="AU8" s="4"/>
      <x:c r="AV8" s="4"/>
      <x:c r="AW8" s="4"/>
      <x:c r="AX8" s="4"/>
      <x:c r="AY8" s="4"/>
      <x:c r="AZ8" s="4"/>
      <x:c r="BA8" s="4"/>
      <x:c r="BB8" s="4"/>
      <x:c r="BC8" s="4"/>
      <x:c r="BD8" s="4"/>
      <x:c r="BE8" s="4"/>
      <x:c r="BF8" s="4"/>
      <x:c r="BG8" s="4"/>
      <x:c r="BH8" s="4"/>
      <x:c r="BI8" s="4"/>
      <x:c r="BJ8" s="4"/>
      <x:c r="BK8" s="4"/>
      <x:c r="BL8" s="4"/>
      <x:c r="BM8" s="4"/>
      <x:c r="BN8" s="4"/>
      <x:c r="BO8" s="4"/>
      <x:c r="BP8" s="4"/>
      <x:c r="BQ8" s="4"/>
    </x:row>
    <x:row r="9" ht="23" customHeight="1">
      <x:c r="A9" s="2"/>
      <x:c r="B9" s="2"/>
      <x:c r="C9" s="2" t="str">
        <x:v>App opening subscribers</x:v>
      </x:c>
      <x:c r="D9" s="76" t="n">
        <x:f>J9</x:f>
        <x:v>0</x:v>
      </x:c>
      <x:c r="E9" s="76" t="n">
        <x:f>V9</x:f>
        <x:v>500.00000000000006</x:v>
      </x:c>
      <x:c r="F9" s="76" t="n">
        <x:f>AH9</x:f>
        <x:v>2000</x:v>
      </x:c>
      <x:c r="G9" s="76" t="n">
        <x:f>AT9</x:f>
        <x:v>5000</x:v>
      </x:c>
      <x:c r="H9" s="76" t="n">
        <x:f>BF9</x:f>
        <x:v>10000</x:v>
      </x:c>
      <x:c r="I9" s="77" t="n">
        <x:f>'Assumptions'!$D$19</x:f>
        <x:v>0</x:v>
      </x:c>
      <x:c r="J9" s="76" t="n">
        <x:f>I14</x:f>
        <x:v>0</x:v>
      </x:c>
      <x:c r="K9" s="76" t="n">
        <x:f>J14</x:f>
        <x:v>41.666666666666664</x:v>
      </x:c>
      <x:c r="L9" s="76" t="n">
        <x:f>K14</x:f>
        <x:v>83.33333333333333</x:v>
      </x:c>
      <x:c r="M9" s="76" t="n">
        <x:f>L14</x:f>
        <x:v>125</x:v>
      </x:c>
      <x:c r="N9" s="76" t="n">
        <x:f>M14</x:f>
        <x:v>166.66666666666666</x:v>
      </x:c>
      <x:c r="O9" s="76" t="n">
        <x:f>N14</x:f>
        <x:v>208.33333333333331</x:v>
      </x:c>
      <x:c r="P9" s="76" t="n">
        <x:f>O14</x:f>
        <x:v>249.99999999999997</x:v>
      </x:c>
      <x:c r="Q9" s="76" t="n">
        <x:f>P14</x:f>
        <x:v>291.66666666666663</x:v>
      </x:c>
      <x:c r="R9" s="76" t="n">
        <x:f>Q14</x:f>
        <x:v>333.3333333333333</x:v>
      </x:c>
      <x:c r="S9" s="76" t="n">
        <x:f>R14</x:f>
        <x:v>375</x:v>
      </x:c>
      <x:c r="T9" s="76" t="n">
        <x:f>S14</x:f>
        <x:v>416.6666666666667</x:v>
      </x:c>
      <x:c r="U9" s="76" t="n">
        <x:f>T14</x:f>
        <x:v>458.33333333333337</x:v>
      </x:c>
      <x:c r="V9" s="76" t="n">
        <x:f>U14</x:f>
        <x:v>500.00000000000006</x:v>
      </x:c>
      <x:c r="W9" s="76" t="n">
        <x:f>V14</x:f>
        <x:v>625</x:v>
      </x:c>
      <x:c r="X9" s="76" t="n">
        <x:f>W14</x:f>
        <x:v>750</x:v>
      </x:c>
      <x:c r="Y9" s="76" t="n">
        <x:f>X14</x:f>
        <x:v>875</x:v>
      </x:c>
      <x:c r="Z9" s="76" t="n">
        <x:f>Y14</x:f>
        <x:v>1000</x:v>
      </x:c>
      <x:c r="AA9" s="76" t="n">
        <x:f>Z14</x:f>
        <x:v>1125</x:v>
      </x:c>
      <x:c r="AB9" s="76" t="n">
        <x:f>AA14</x:f>
        <x:v>1250</x:v>
      </x:c>
      <x:c r="AC9" s="76" t="n">
        <x:f>AB14</x:f>
        <x:v>1375</x:v>
      </x:c>
      <x:c r="AD9" s="76" t="n">
        <x:f>AC14</x:f>
        <x:v>1500</x:v>
      </x:c>
      <x:c r="AE9" s="76" t="n">
        <x:f>AD14</x:f>
        <x:v>1625</x:v>
      </x:c>
      <x:c r="AF9" s="76" t="n">
        <x:f>AE14</x:f>
        <x:v>1750</x:v>
      </x:c>
      <x:c r="AG9" s="76" t="n">
        <x:f>AF14</x:f>
        <x:v>1875</x:v>
      </x:c>
      <x:c r="AH9" s="76" t="n">
        <x:f>AG14</x:f>
        <x:v>2000</x:v>
      </x:c>
      <x:c r="AI9" s="76" t="n">
        <x:f>AH14</x:f>
        <x:v>2250</x:v>
      </x:c>
      <x:c r="AJ9" s="76" t="n">
        <x:f>AI14</x:f>
        <x:v>2500</x:v>
      </x:c>
      <x:c r="AK9" s="76" t="n">
        <x:f>AJ14</x:f>
        <x:v>2750</x:v>
      </x:c>
      <x:c r="AL9" s="76" t="n">
        <x:f>AK14</x:f>
        <x:v>3000</x:v>
      </x:c>
      <x:c r="AM9" s="76" t="n">
        <x:f>AL14</x:f>
        <x:v>3250</x:v>
      </x:c>
      <x:c r="AN9" s="76" t="n">
        <x:f>AM14</x:f>
        <x:v>3500</x:v>
      </x:c>
      <x:c r="AO9" s="76" t="n">
        <x:f>AN14</x:f>
        <x:v>3750</x:v>
      </x:c>
      <x:c r="AP9" s="76" t="n">
        <x:f>AO14</x:f>
        <x:v>4000</x:v>
      </x:c>
      <x:c r="AQ9" s="76" t="n">
        <x:f>AP14</x:f>
        <x:v>4250</x:v>
      </x:c>
      <x:c r="AR9" s="76" t="n">
        <x:f>AQ14</x:f>
        <x:v>4500</x:v>
      </x:c>
      <x:c r="AS9" s="76" t="n">
        <x:f>AR14</x:f>
        <x:v>4750</x:v>
      </x:c>
      <x:c r="AT9" s="76" t="n">
        <x:f>AS14</x:f>
        <x:v>5000</x:v>
      </x:c>
      <x:c r="AU9" s="76" t="n">
        <x:f>AT14</x:f>
        <x:v>5416.666666666667</x:v>
      </x:c>
      <x:c r="AV9" s="76" t="n">
        <x:f>AU14</x:f>
        <x:v>5833.333333333334</x:v>
      </x:c>
      <x:c r="AW9" s="76" t="n">
        <x:f>AV14</x:f>
        <x:v>6250.000000000001</x:v>
      </x:c>
      <x:c r="AX9" s="76" t="n">
        <x:f>AW14</x:f>
        <x:v>6666.666666666668</x:v>
      </x:c>
      <x:c r="AY9" s="76" t="n">
        <x:f>AX14</x:f>
        <x:v>7083.333333333335</x:v>
      </x:c>
      <x:c r="AZ9" s="76" t="n">
        <x:f>AY14</x:f>
        <x:v>7500.000000000002</x:v>
      </x:c>
      <x:c r="BA9" s="76" t="n">
        <x:f>AZ14</x:f>
        <x:v>7916.666666666669</x:v>
      </x:c>
      <x:c r="BB9" s="76" t="n">
        <x:f>BA14</x:f>
        <x:v>8333.333333333336</x:v>
      </x:c>
      <x:c r="BC9" s="76" t="n">
        <x:f>BB14</x:f>
        <x:v>8750.000000000002</x:v>
      </x:c>
      <x:c r="BD9" s="76" t="n">
        <x:f>BC14</x:f>
        <x:v>9166.666666666668</x:v>
      </x:c>
      <x:c r="BE9" s="76" t="n">
        <x:f>BD14</x:f>
        <x:v>9583.333333333334</x:v>
      </x:c>
      <x:c r="BF9" s="76" t="n">
        <x:f>BE14</x:f>
        <x:v>10000</x:v>
      </x:c>
      <x:c r="BG9" s="76" t="n">
        <x:f>BF14</x:f>
        <x:v>10833.333333333334</x:v>
      </x:c>
      <x:c r="BH9" s="76" t="n">
        <x:f>BG14</x:f>
        <x:v>11666.666666666668</x:v>
      </x:c>
      <x:c r="BI9" s="76" t="n">
        <x:f>BH14</x:f>
        <x:v>12500.000000000002</x:v>
      </x:c>
      <x:c r="BJ9" s="76" t="n">
        <x:f>BI14</x:f>
        <x:v>13333.333333333336</x:v>
      </x:c>
      <x:c r="BK9" s="76" t="n">
        <x:f>BJ14</x:f>
        <x:v>14166.66666666667</x:v>
      </x:c>
      <x:c r="BL9" s="76" t="n">
        <x:f>BK14</x:f>
        <x:v>15000.000000000004</x:v>
      </x:c>
      <x:c r="BM9" s="76" t="n">
        <x:f>BL14</x:f>
        <x:v>15833.333333333338</x:v>
      </x:c>
      <x:c r="BN9" s="76" t="n">
        <x:f>BM14</x:f>
        <x:v>16666.66666666667</x:v>
      </x:c>
      <x:c r="BO9" s="76" t="n">
        <x:f>BN14</x:f>
        <x:v>17500.000000000004</x:v>
      </x:c>
      <x:c r="BP9" s="76" t="n">
        <x:f>BO14</x:f>
        <x:v>18333.333333333336</x:v>
      </x:c>
      <x:c r="BQ9" s="76" t="n">
        <x:f>BP14</x:f>
        <x:v>19166.666666666668</x:v>
      </x:c>
    </x:row>
    <x:row r="10" ht="23" customHeight="1">
      <x:c r="A10" s="2"/>
      <x:c r="B10" s="2"/>
      <x:c r="C10" s="2" t="str">
        <x:v>App net additions required</x:v>
      </x:c>
      <x:c r="D10" s="76" t="n">
        <x:f>SUM(J10:U10)</x:f>
        <x:v>500.00000000000006</x:v>
      </x:c>
      <x:c r="E10" s="76" t="n">
        <x:f>SUM(V10:AG10)</x:f>
        <x:v>1500</x:v>
      </x:c>
      <x:c r="F10" s="76" t="n">
        <x:f>SUM(AH10:AS10)</x:f>
        <x:v>3000</x:v>
      </x:c>
      <x:c r="G10" s="76" t="n">
        <x:f>SUM(AT10:BE10)</x:f>
        <x:v>5000</x:v>
      </x:c>
      <x:c r="H10" s="76" t="n">
        <x:f>SUM(BF10:BQ10)</x:f>
        <x:v>10000</x:v>
      </x:c>
      <x:c r="I10" s="78" t="n">
        <x:v>0</x:v>
      </x:c>
      <x:c r="J10" s="77" t="n">
        <x:f>('Assumptions'!D7-'Assumptions'!$D$19)/12</x:f>
        <x:v>41.666666666666664</x:v>
      </x:c>
      <x:c r="K10" s="77" t="n">
        <x:f>('Assumptions'!D7-'Assumptions'!$D$19)/12</x:f>
        <x:v>41.666666666666664</x:v>
      </x:c>
      <x:c r="L10" s="77" t="n">
        <x:f>('Assumptions'!D7-'Assumptions'!$D$19)/12</x:f>
        <x:v>41.666666666666664</x:v>
      </x:c>
      <x:c r="M10" s="77" t="n">
        <x:f>('Assumptions'!D7-'Assumptions'!$D$19)/12</x:f>
        <x:v>41.666666666666664</x:v>
      </x:c>
      <x:c r="N10" s="77" t="n">
        <x:f>('Assumptions'!D7-'Assumptions'!$D$19)/12</x:f>
        <x:v>41.666666666666664</x:v>
      </x:c>
      <x:c r="O10" s="77" t="n">
        <x:f>('Assumptions'!D7-'Assumptions'!$D$19)/12</x:f>
        <x:v>41.666666666666664</x:v>
      </x:c>
      <x:c r="P10" s="77" t="n">
        <x:f>('Assumptions'!D7-'Assumptions'!$D$19)/12</x:f>
        <x:v>41.666666666666664</x:v>
      </x:c>
      <x:c r="Q10" s="77" t="n">
        <x:f>('Assumptions'!D7-'Assumptions'!$D$19)/12</x:f>
        <x:v>41.666666666666664</x:v>
      </x:c>
      <x:c r="R10" s="77" t="n">
        <x:f>('Assumptions'!D7-'Assumptions'!$D$19)/12</x:f>
        <x:v>41.666666666666664</x:v>
      </x:c>
      <x:c r="S10" s="77" t="n">
        <x:f>('Assumptions'!D7-'Assumptions'!$D$19)/12</x:f>
        <x:v>41.666666666666664</x:v>
      </x:c>
      <x:c r="T10" s="77" t="n">
        <x:f>('Assumptions'!D7-'Assumptions'!$D$19)/12</x:f>
        <x:v>41.666666666666664</x:v>
      </x:c>
      <x:c r="U10" s="77" t="n">
        <x:f>('Assumptions'!D7-'Assumptions'!$D$19)/12</x:f>
        <x:v>41.666666666666664</x:v>
      </x:c>
      <x:c r="V10" s="77" t="n">
        <x:f>('Assumptions'!E7-'Assumptions'!D7)/12</x:f>
        <x:v>125</x:v>
      </x:c>
      <x:c r="W10" s="77" t="n">
        <x:f>('Assumptions'!E7-'Assumptions'!D7)/12</x:f>
        <x:v>125</x:v>
      </x:c>
      <x:c r="X10" s="77" t="n">
        <x:f>('Assumptions'!E7-'Assumptions'!D7)/12</x:f>
        <x:v>125</x:v>
      </x:c>
      <x:c r="Y10" s="77" t="n">
        <x:f>('Assumptions'!E7-'Assumptions'!D7)/12</x:f>
        <x:v>125</x:v>
      </x:c>
      <x:c r="Z10" s="77" t="n">
        <x:f>('Assumptions'!E7-'Assumptions'!D7)/12</x:f>
        <x:v>125</x:v>
      </x:c>
      <x:c r="AA10" s="77" t="n">
        <x:f>('Assumptions'!E7-'Assumptions'!D7)/12</x:f>
        <x:v>125</x:v>
      </x:c>
      <x:c r="AB10" s="77" t="n">
        <x:f>('Assumptions'!E7-'Assumptions'!D7)/12</x:f>
        <x:v>125</x:v>
      </x:c>
      <x:c r="AC10" s="77" t="n">
        <x:f>('Assumptions'!E7-'Assumptions'!D7)/12</x:f>
        <x:v>125</x:v>
      </x:c>
      <x:c r="AD10" s="77" t="n">
        <x:f>('Assumptions'!E7-'Assumptions'!D7)/12</x:f>
        <x:v>125</x:v>
      </x:c>
      <x:c r="AE10" s="77" t="n">
        <x:f>('Assumptions'!E7-'Assumptions'!D7)/12</x:f>
        <x:v>125</x:v>
      </x:c>
      <x:c r="AF10" s="77" t="n">
        <x:f>('Assumptions'!E7-'Assumptions'!D7)/12</x:f>
        <x:v>125</x:v>
      </x:c>
      <x:c r="AG10" s="77" t="n">
        <x:f>('Assumptions'!E7-'Assumptions'!D7)/12</x:f>
        <x:v>125</x:v>
      </x:c>
      <x:c r="AH10" s="77" t="n">
        <x:f>('Assumptions'!F7-'Assumptions'!E7)/12</x:f>
        <x:v>250</x:v>
      </x:c>
      <x:c r="AI10" s="77" t="n">
        <x:f>('Assumptions'!F7-'Assumptions'!E7)/12</x:f>
        <x:v>250</x:v>
      </x:c>
      <x:c r="AJ10" s="77" t="n">
        <x:f>('Assumptions'!F7-'Assumptions'!E7)/12</x:f>
        <x:v>250</x:v>
      </x:c>
      <x:c r="AK10" s="77" t="n">
        <x:f>('Assumptions'!F7-'Assumptions'!E7)/12</x:f>
        <x:v>250</x:v>
      </x:c>
      <x:c r="AL10" s="77" t="n">
        <x:f>('Assumptions'!F7-'Assumptions'!E7)/12</x:f>
        <x:v>250</x:v>
      </x:c>
      <x:c r="AM10" s="77" t="n">
        <x:f>('Assumptions'!F7-'Assumptions'!E7)/12</x:f>
        <x:v>250</x:v>
      </x:c>
      <x:c r="AN10" s="77" t="n">
        <x:f>('Assumptions'!F7-'Assumptions'!E7)/12</x:f>
        <x:v>250</x:v>
      </x:c>
      <x:c r="AO10" s="77" t="n">
        <x:f>('Assumptions'!F7-'Assumptions'!E7)/12</x:f>
        <x:v>250</x:v>
      </x:c>
      <x:c r="AP10" s="77" t="n">
        <x:f>('Assumptions'!F7-'Assumptions'!E7)/12</x:f>
        <x:v>250</x:v>
      </x:c>
      <x:c r="AQ10" s="77" t="n">
        <x:f>('Assumptions'!F7-'Assumptions'!E7)/12</x:f>
        <x:v>250</x:v>
      </x:c>
      <x:c r="AR10" s="77" t="n">
        <x:f>('Assumptions'!F7-'Assumptions'!E7)/12</x:f>
        <x:v>250</x:v>
      </x:c>
      <x:c r="AS10" s="77" t="n">
        <x:f>('Assumptions'!F7-'Assumptions'!E7)/12</x:f>
        <x:v>250</x:v>
      </x:c>
      <x:c r="AT10" s="77" t="n">
        <x:f>('Assumptions'!G7-'Assumptions'!F7)/12</x:f>
        <x:v>416.6666666666667</x:v>
      </x:c>
      <x:c r="AU10" s="77" t="n">
        <x:f>('Assumptions'!G7-'Assumptions'!F7)/12</x:f>
        <x:v>416.6666666666667</x:v>
      </x:c>
      <x:c r="AV10" s="77" t="n">
        <x:f>('Assumptions'!G7-'Assumptions'!F7)/12</x:f>
        <x:v>416.6666666666667</x:v>
      </x:c>
      <x:c r="AW10" s="77" t="n">
        <x:f>('Assumptions'!G7-'Assumptions'!F7)/12</x:f>
        <x:v>416.6666666666667</x:v>
      </x:c>
      <x:c r="AX10" s="77" t="n">
        <x:f>('Assumptions'!G7-'Assumptions'!F7)/12</x:f>
        <x:v>416.6666666666667</x:v>
      </x:c>
      <x:c r="AY10" s="77" t="n">
        <x:f>('Assumptions'!G7-'Assumptions'!F7)/12</x:f>
        <x:v>416.6666666666667</x:v>
      </x:c>
      <x:c r="AZ10" s="77" t="n">
        <x:f>('Assumptions'!G7-'Assumptions'!F7)/12</x:f>
        <x:v>416.6666666666667</x:v>
      </x:c>
      <x:c r="BA10" s="77" t="n">
        <x:f>('Assumptions'!G7-'Assumptions'!F7)/12</x:f>
        <x:v>416.6666666666667</x:v>
      </x:c>
      <x:c r="BB10" s="77" t="n">
        <x:f>('Assumptions'!G7-'Assumptions'!F7)/12</x:f>
        <x:v>416.6666666666667</x:v>
      </x:c>
      <x:c r="BC10" s="77" t="n">
        <x:f>('Assumptions'!G7-'Assumptions'!F7)/12</x:f>
        <x:v>416.6666666666667</x:v>
      </x:c>
      <x:c r="BD10" s="77" t="n">
        <x:f>('Assumptions'!G7-'Assumptions'!F7)/12</x:f>
        <x:v>416.6666666666667</x:v>
      </x:c>
      <x:c r="BE10" s="77" t="n">
        <x:f>('Assumptions'!G7-'Assumptions'!F7)/12</x:f>
        <x:v>416.6666666666667</x:v>
      </x:c>
      <x:c r="BF10" s="77" t="n">
        <x:f>('Assumptions'!H7-'Assumptions'!G7)/12</x:f>
        <x:v>833.3333333333334</x:v>
      </x:c>
      <x:c r="BG10" s="77" t="n">
        <x:f>('Assumptions'!H7-'Assumptions'!G7)/12</x:f>
        <x:v>833.3333333333334</x:v>
      </x:c>
      <x:c r="BH10" s="77" t="n">
        <x:f>('Assumptions'!H7-'Assumptions'!G7)/12</x:f>
        <x:v>833.3333333333334</x:v>
      </x:c>
      <x:c r="BI10" s="77" t="n">
        <x:f>('Assumptions'!H7-'Assumptions'!G7)/12</x:f>
        <x:v>833.3333333333334</x:v>
      </x:c>
      <x:c r="BJ10" s="77" t="n">
        <x:f>('Assumptions'!H7-'Assumptions'!G7)/12</x:f>
        <x:v>833.3333333333334</x:v>
      </x:c>
      <x:c r="BK10" s="77" t="n">
        <x:f>('Assumptions'!H7-'Assumptions'!G7)/12</x:f>
        <x:v>833.3333333333334</x:v>
      </x:c>
      <x:c r="BL10" s="77" t="n">
        <x:f>('Assumptions'!H7-'Assumptions'!G7)/12</x:f>
        <x:v>833.3333333333334</x:v>
      </x:c>
      <x:c r="BM10" s="77" t="n">
        <x:f>('Assumptions'!H7-'Assumptions'!G7)/12</x:f>
        <x:v>833.3333333333334</x:v>
      </x:c>
      <x:c r="BN10" s="77" t="n">
        <x:f>('Assumptions'!H7-'Assumptions'!G7)/12</x:f>
        <x:v>833.3333333333334</x:v>
      </x:c>
      <x:c r="BO10" s="77" t="n">
        <x:f>('Assumptions'!H7-'Assumptions'!G7)/12</x:f>
        <x:v>833.3333333333334</x:v>
      </x:c>
      <x:c r="BP10" s="77" t="n">
        <x:f>('Assumptions'!H7-'Assumptions'!G7)/12</x:f>
        <x:v>833.3333333333334</x:v>
      </x:c>
      <x:c r="BQ10" s="77" t="n">
        <x:f>('Assumptions'!H7-'Assumptions'!G7)/12</x:f>
        <x:v>833.3333333333334</x:v>
      </x:c>
    </x:row>
    <x:row r="11" ht="23" customHeight="1">
      <x:c r="A11" s="2"/>
      <x:c r="B11" s="2"/>
      <x:c r="C11" s="59" t="str">
        <x:v>App monthly churn</x:v>
      </x:c>
      <x:c r="D11" s="73" t="str">
        <x:f>IF(COUNT(J11:U11)=12,AVERAGE(J11:U11),"n.a.")</x:f>
        <x:v>n.a.</x:v>
      </x:c>
      <x:c r="E11" s="73" t="str">
        <x:f>IF(COUNT(V11:AG11)=12,AVERAGE(V11:AG11),"n.a.")</x:f>
        <x:v>n.a.</x:v>
      </x:c>
      <x:c r="F11" s="73" t="str">
        <x:f>IF(COUNT(AH11:AS11)=12,AVERAGE(AH11:AS11),"n.a.")</x:f>
        <x:v>n.a.</x:v>
      </x:c>
      <x:c r="G11" s="73" t="str">
        <x:f>IF(COUNT(AT11:BE11)=12,AVERAGE(AT11:BE11),"n.a.")</x:f>
        <x:v>n.a.</x:v>
      </x:c>
      <x:c r="H11" s="73" t="str">
        <x:f>IF(COUNT(BF11:BQ11)=12,AVERAGE(BF11:BQ11),"n.a.")</x:f>
        <x:v>n.a.</x:v>
      </x:c>
      <x:c r="I11" s="74" t="n">
        <x:v>0</x:v>
      </x:c>
      <x:c r="J11" s="75" t="str">
        <x:f>IF(ISNUMBER('Assumptions'!D25),'Assumptions'!D25,"n.a.")</x:f>
        <x:v>n.a.</x:v>
      </x:c>
      <x:c r="K11" s="75" t="str">
        <x:f>IF(ISNUMBER('Assumptions'!D25),'Assumptions'!D25,"n.a.")</x:f>
        <x:v>n.a.</x:v>
      </x:c>
      <x:c r="L11" s="75" t="str">
        <x:f>IF(ISNUMBER('Assumptions'!D25),'Assumptions'!D25,"n.a.")</x:f>
        <x:v>n.a.</x:v>
      </x:c>
      <x:c r="M11" s="75" t="str">
        <x:f>IF(ISNUMBER('Assumptions'!D25),'Assumptions'!D25,"n.a.")</x:f>
        <x:v>n.a.</x:v>
      </x:c>
      <x:c r="N11" s="75" t="str">
        <x:f>IF(ISNUMBER('Assumptions'!D25),'Assumptions'!D25,"n.a.")</x:f>
        <x:v>n.a.</x:v>
      </x:c>
      <x:c r="O11" s="75" t="str">
        <x:f>IF(ISNUMBER('Assumptions'!D25),'Assumptions'!D25,"n.a.")</x:f>
        <x:v>n.a.</x:v>
      </x:c>
      <x:c r="P11" s="75" t="str">
        <x:f>IF(ISNUMBER('Assumptions'!D25),'Assumptions'!D25,"n.a.")</x:f>
        <x:v>n.a.</x:v>
      </x:c>
      <x:c r="Q11" s="75" t="str">
        <x:f>IF(ISNUMBER('Assumptions'!D25),'Assumptions'!D25,"n.a.")</x:f>
        <x:v>n.a.</x:v>
      </x:c>
      <x:c r="R11" s="75" t="str">
        <x:f>IF(ISNUMBER('Assumptions'!D25),'Assumptions'!D25,"n.a.")</x:f>
        <x:v>n.a.</x:v>
      </x:c>
      <x:c r="S11" s="75" t="str">
        <x:f>IF(ISNUMBER('Assumptions'!D25),'Assumptions'!D25,"n.a.")</x:f>
        <x:v>n.a.</x:v>
      </x:c>
      <x:c r="T11" s="75" t="str">
        <x:f>IF(ISNUMBER('Assumptions'!D25),'Assumptions'!D25,"n.a.")</x:f>
        <x:v>n.a.</x:v>
      </x:c>
      <x:c r="U11" s="75" t="str">
        <x:f>IF(ISNUMBER('Assumptions'!D25),'Assumptions'!D25,"n.a.")</x:f>
        <x:v>n.a.</x:v>
      </x:c>
      <x:c r="V11" s="75" t="str">
        <x:f>IF(ISNUMBER('Assumptions'!E25),'Assumptions'!E25,"n.a.")</x:f>
        <x:v>n.a.</x:v>
      </x:c>
      <x:c r="W11" s="75" t="str">
        <x:f>IF(ISNUMBER('Assumptions'!E25),'Assumptions'!E25,"n.a.")</x:f>
        <x:v>n.a.</x:v>
      </x:c>
      <x:c r="X11" s="75" t="str">
        <x:f>IF(ISNUMBER('Assumptions'!E25),'Assumptions'!E25,"n.a.")</x:f>
        <x:v>n.a.</x:v>
      </x:c>
      <x:c r="Y11" s="75" t="str">
        <x:f>IF(ISNUMBER('Assumptions'!E25),'Assumptions'!E25,"n.a.")</x:f>
        <x:v>n.a.</x:v>
      </x:c>
      <x:c r="Z11" s="75" t="str">
        <x:f>IF(ISNUMBER('Assumptions'!E25),'Assumptions'!E25,"n.a.")</x:f>
        <x:v>n.a.</x:v>
      </x:c>
      <x:c r="AA11" s="75" t="str">
        <x:f>IF(ISNUMBER('Assumptions'!E25),'Assumptions'!E25,"n.a.")</x:f>
        <x:v>n.a.</x:v>
      </x:c>
      <x:c r="AB11" s="75" t="str">
        <x:f>IF(ISNUMBER('Assumptions'!E25),'Assumptions'!E25,"n.a.")</x:f>
        <x:v>n.a.</x:v>
      </x:c>
      <x:c r="AC11" s="75" t="str">
        <x:f>IF(ISNUMBER('Assumptions'!E25),'Assumptions'!E25,"n.a.")</x:f>
        <x:v>n.a.</x:v>
      </x:c>
      <x:c r="AD11" s="75" t="str">
        <x:f>IF(ISNUMBER('Assumptions'!E25),'Assumptions'!E25,"n.a.")</x:f>
        <x:v>n.a.</x:v>
      </x:c>
      <x:c r="AE11" s="75" t="str">
        <x:f>IF(ISNUMBER('Assumptions'!E25),'Assumptions'!E25,"n.a.")</x:f>
        <x:v>n.a.</x:v>
      </x:c>
      <x:c r="AF11" s="75" t="str">
        <x:f>IF(ISNUMBER('Assumptions'!E25),'Assumptions'!E25,"n.a.")</x:f>
        <x:v>n.a.</x:v>
      </x:c>
      <x:c r="AG11" s="75" t="str">
        <x:f>IF(ISNUMBER('Assumptions'!E25),'Assumptions'!E25,"n.a.")</x:f>
        <x:v>n.a.</x:v>
      </x:c>
      <x:c r="AH11" s="75" t="str">
        <x:f>IF(ISNUMBER('Assumptions'!F25),'Assumptions'!F25,"n.a.")</x:f>
        <x:v>n.a.</x:v>
      </x:c>
      <x:c r="AI11" s="75" t="str">
        <x:f>IF(ISNUMBER('Assumptions'!F25),'Assumptions'!F25,"n.a.")</x:f>
        <x:v>n.a.</x:v>
      </x:c>
      <x:c r="AJ11" s="75" t="str">
        <x:f>IF(ISNUMBER('Assumptions'!F25),'Assumptions'!F25,"n.a.")</x:f>
        <x:v>n.a.</x:v>
      </x:c>
      <x:c r="AK11" s="75" t="str">
        <x:f>IF(ISNUMBER('Assumptions'!F25),'Assumptions'!F25,"n.a.")</x:f>
        <x:v>n.a.</x:v>
      </x:c>
      <x:c r="AL11" s="75" t="str">
        <x:f>IF(ISNUMBER('Assumptions'!F25),'Assumptions'!F25,"n.a.")</x:f>
        <x:v>n.a.</x:v>
      </x:c>
      <x:c r="AM11" s="75" t="str">
        <x:f>IF(ISNUMBER('Assumptions'!F25),'Assumptions'!F25,"n.a.")</x:f>
        <x:v>n.a.</x:v>
      </x:c>
      <x:c r="AN11" s="75" t="str">
        <x:f>IF(ISNUMBER('Assumptions'!F25),'Assumptions'!F25,"n.a.")</x:f>
        <x:v>n.a.</x:v>
      </x:c>
      <x:c r="AO11" s="75" t="str">
        <x:f>IF(ISNUMBER('Assumptions'!F25),'Assumptions'!F25,"n.a.")</x:f>
        <x:v>n.a.</x:v>
      </x:c>
      <x:c r="AP11" s="75" t="str">
        <x:f>IF(ISNUMBER('Assumptions'!F25),'Assumptions'!F25,"n.a.")</x:f>
        <x:v>n.a.</x:v>
      </x:c>
      <x:c r="AQ11" s="75" t="str">
        <x:f>IF(ISNUMBER('Assumptions'!F25),'Assumptions'!F25,"n.a.")</x:f>
        <x:v>n.a.</x:v>
      </x:c>
      <x:c r="AR11" s="75" t="str">
        <x:f>IF(ISNUMBER('Assumptions'!F25),'Assumptions'!F25,"n.a.")</x:f>
        <x:v>n.a.</x:v>
      </x:c>
      <x:c r="AS11" s="75" t="str">
        <x:f>IF(ISNUMBER('Assumptions'!F25),'Assumptions'!F25,"n.a.")</x:f>
        <x:v>n.a.</x:v>
      </x:c>
      <x:c r="AT11" s="75" t="str">
        <x:f>IF(ISNUMBER('Assumptions'!G25),'Assumptions'!G25,"n.a.")</x:f>
        <x:v>n.a.</x:v>
      </x:c>
      <x:c r="AU11" s="75" t="str">
        <x:f>IF(ISNUMBER('Assumptions'!G25),'Assumptions'!G25,"n.a.")</x:f>
        <x:v>n.a.</x:v>
      </x:c>
      <x:c r="AV11" s="75" t="str">
        <x:f>IF(ISNUMBER('Assumptions'!G25),'Assumptions'!G25,"n.a.")</x:f>
        <x:v>n.a.</x:v>
      </x:c>
      <x:c r="AW11" s="75" t="str">
        <x:f>IF(ISNUMBER('Assumptions'!G25),'Assumptions'!G25,"n.a.")</x:f>
        <x:v>n.a.</x:v>
      </x:c>
      <x:c r="AX11" s="75" t="str">
        <x:f>IF(ISNUMBER('Assumptions'!G25),'Assumptions'!G25,"n.a.")</x:f>
        <x:v>n.a.</x:v>
      </x:c>
      <x:c r="AY11" s="75" t="str">
        <x:f>IF(ISNUMBER('Assumptions'!G25),'Assumptions'!G25,"n.a.")</x:f>
        <x:v>n.a.</x:v>
      </x:c>
      <x:c r="AZ11" s="75" t="str">
        <x:f>IF(ISNUMBER('Assumptions'!G25),'Assumptions'!G25,"n.a.")</x:f>
        <x:v>n.a.</x:v>
      </x:c>
      <x:c r="BA11" s="75" t="str">
        <x:f>IF(ISNUMBER('Assumptions'!G25),'Assumptions'!G25,"n.a.")</x:f>
        <x:v>n.a.</x:v>
      </x:c>
      <x:c r="BB11" s="75" t="str">
        <x:f>IF(ISNUMBER('Assumptions'!G25),'Assumptions'!G25,"n.a.")</x:f>
        <x:v>n.a.</x:v>
      </x:c>
      <x:c r="BC11" s="75" t="str">
        <x:f>IF(ISNUMBER('Assumptions'!G25),'Assumptions'!G25,"n.a.")</x:f>
        <x:v>n.a.</x:v>
      </x:c>
      <x:c r="BD11" s="75" t="str">
        <x:f>IF(ISNUMBER('Assumptions'!G25),'Assumptions'!G25,"n.a.")</x:f>
        <x:v>n.a.</x:v>
      </x:c>
      <x:c r="BE11" s="75" t="str">
        <x:f>IF(ISNUMBER('Assumptions'!G25),'Assumptions'!G25,"n.a.")</x:f>
        <x:v>n.a.</x:v>
      </x:c>
      <x:c r="BF11" s="75" t="str">
        <x:f>IF(ISNUMBER('Assumptions'!H25),'Assumptions'!H25,"n.a.")</x:f>
        <x:v>n.a.</x:v>
      </x:c>
      <x:c r="BG11" s="75" t="str">
        <x:f>IF(ISNUMBER('Assumptions'!H25),'Assumptions'!H25,"n.a.")</x:f>
        <x:v>n.a.</x:v>
      </x:c>
      <x:c r="BH11" s="75" t="str">
        <x:f>IF(ISNUMBER('Assumptions'!H25),'Assumptions'!H25,"n.a.")</x:f>
        <x:v>n.a.</x:v>
      </x:c>
      <x:c r="BI11" s="75" t="str">
        <x:f>IF(ISNUMBER('Assumptions'!H25),'Assumptions'!H25,"n.a.")</x:f>
        <x:v>n.a.</x:v>
      </x:c>
      <x:c r="BJ11" s="75" t="str">
        <x:f>IF(ISNUMBER('Assumptions'!H25),'Assumptions'!H25,"n.a.")</x:f>
        <x:v>n.a.</x:v>
      </x:c>
      <x:c r="BK11" s="75" t="str">
        <x:f>IF(ISNUMBER('Assumptions'!H25),'Assumptions'!H25,"n.a.")</x:f>
        <x:v>n.a.</x:v>
      </x:c>
      <x:c r="BL11" s="75" t="str">
        <x:f>IF(ISNUMBER('Assumptions'!H25),'Assumptions'!H25,"n.a.")</x:f>
        <x:v>n.a.</x:v>
      </x:c>
      <x:c r="BM11" s="75" t="str">
        <x:f>IF(ISNUMBER('Assumptions'!H25),'Assumptions'!H25,"n.a.")</x:f>
        <x:v>n.a.</x:v>
      </x:c>
      <x:c r="BN11" s="75" t="str">
        <x:f>IF(ISNUMBER('Assumptions'!H25),'Assumptions'!H25,"n.a.")</x:f>
        <x:v>n.a.</x:v>
      </x:c>
      <x:c r="BO11" s="75" t="str">
        <x:f>IF(ISNUMBER('Assumptions'!H25),'Assumptions'!H25,"n.a.")</x:f>
        <x:v>n.a.</x:v>
      </x:c>
      <x:c r="BP11" s="75" t="str">
        <x:f>IF(ISNUMBER('Assumptions'!H25),'Assumptions'!H25,"n.a.")</x:f>
        <x:v>n.a.</x:v>
      </x:c>
      <x:c r="BQ11" s="75" t="str">
        <x:f>IF(ISNUMBER('Assumptions'!H25),'Assumptions'!H25,"n.a.")</x:f>
        <x:v>n.a.</x:v>
      </x:c>
    </x:row>
    <x:row r="12" ht="23" customHeight="1">
      <x:c r="A12" s="2"/>
      <x:c r="B12" s="2"/>
      <x:c r="C12" s="2" t="str">
        <x:v>App subscribers lost</x:v>
      </x:c>
      <x:c r="D12" s="76" t="str">
        <x:f>IF(COUNT(J12:U12)=12,SUM(J12:U12),"n.a.")</x:f>
        <x:v>n.a.</x:v>
      </x:c>
      <x:c r="E12" s="76" t="str">
        <x:f>IF(COUNT(V12:AG12)=12,SUM(V12:AG12),"n.a.")</x:f>
        <x:v>n.a.</x:v>
      </x:c>
      <x:c r="F12" s="76" t="str">
        <x:f>IF(COUNT(AH12:AS12)=12,SUM(AH12:AS12),"n.a.")</x:f>
        <x:v>n.a.</x:v>
      </x:c>
      <x:c r="G12" s="76" t="str">
        <x:f>IF(COUNT(AT12:BE12)=12,SUM(AT12:BE12),"n.a.")</x:f>
        <x:v>n.a.</x:v>
      </x:c>
      <x:c r="H12" s="76" t="str">
        <x:f>IF(COUNT(BF12:BQ12)=12,SUM(BF12:BQ12),"n.a.")</x:f>
        <x:v>n.a.</x:v>
      </x:c>
      <x:c r="I12" s="78" t="n">
        <x:v>0</x:v>
      </x:c>
      <x:c r="J12" s="76" t="str">
        <x:f>IF(ISNUMBER(J11),J9*J11,"n.a.")</x:f>
        <x:v>n.a.</x:v>
      </x:c>
      <x:c r="K12" s="76" t="str">
        <x:f>IF(ISNUMBER(K11),K9*K11,"n.a.")</x:f>
        <x:v>n.a.</x:v>
      </x:c>
      <x:c r="L12" s="76" t="str">
        <x:f>IF(ISNUMBER(L11),L9*L11,"n.a.")</x:f>
        <x:v>n.a.</x:v>
      </x:c>
      <x:c r="M12" s="76" t="str">
        <x:f>IF(ISNUMBER(M11),M9*M11,"n.a.")</x:f>
        <x:v>n.a.</x:v>
      </x:c>
      <x:c r="N12" s="76" t="str">
        <x:f>IF(ISNUMBER(N11),N9*N11,"n.a.")</x:f>
        <x:v>n.a.</x:v>
      </x:c>
      <x:c r="O12" s="76" t="str">
        <x:f>IF(ISNUMBER(O11),O9*O11,"n.a.")</x:f>
        <x:v>n.a.</x:v>
      </x:c>
      <x:c r="P12" s="76" t="str">
        <x:f>IF(ISNUMBER(P11),P9*P11,"n.a.")</x:f>
        <x:v>n.a.</x:v>
      </x:c>
      <x:c r="Q12" s="76" t="str">
        <x:f>IF(ISNUMBER(Q11),Q9*Q11,"n.a.")</x:f>
        <x:v>n.a.</x:v>
      </x:c>
      <x:c r="R12" s="76" t="str">
        <x:f>IF(ISNUMBER(R11),R9*R11,"n.a.")</x:f>
        <x:v>n.a.</x:v>
      </x:c>
      <x:c r="S12" s="76" t="str">
        <x:f>IF(ISNUMBER(S11),S9*S11,"n.a.")</x:f>
        <x:v>n.a.</x:v>
      </x:c>
      <x:c r="T12" s="76" t="str">
        <x:f>IF(ISNUMBER(T11),T9*T11,"n.a.")</x:f>
        <x:v>n.a.</x:v>
      </x:c>
      <x:c r="U12" s="76" t="str">
        <x:f>IF(ISNUMBER(U11),U9*U11,"n.a.")</x:f>
        <x:v>n.a.</x:v>
      </x:c>
      <x:c r="V12" s="76" t="str">
        <x:f>IF(ISNUMBER(V11),V9*V11,"n.a.")</x:f>
        <x:v>n.a.</x:v>
      </x:c>
      <x:c r="W12" s="76" t="str">
        <x:f>IF(ISNUMBER(W11),W9*W11,"n.a.")</x:f>
        <x:v>n.a.</x:v>
      </x:c>
      <x:c r="X12" s="76" t="str">
        <x:f>IF(ISNUMBER(X11),X9*X11,"n.a.")</x:f>
        <x:v>n.a.</x:v>
      </x:c>
      <x:c r="Y12" s="76" t="str">
        <x:f>IF(ISNUMBER(Y11),Y9*Y11,"n.a.")</x:f>
        <x:v>n.a.</x:v>
      </x:c>
      <x:c r="Z12" s="76" t="str">
        <x:f>IF(ISNUMBER(Z11),Z9*Z11,"n.a.")</x:f>
        <x:v>n.a.</x:v>
      </x:c>
      <x:c r="AA12" s="76" t="str">
        <x:f>IF(ISNUMBER(AA11),AA9*AA11,"n.a.")</x:f>
        <x:v>n.a.</x:v>
      </x:c>
      <x:c r="AB12" s="76" t="str">
        <x:f>IF(ISNUMBER(AB11),AB9*AB11,"n.a.")</x:f>
        <x:v>n.a.</x:v>
      </x:c>
      <x:c r="AC12" s="76" t="str">
        <x:f>IF(ISNUMBER(AC11),AC9*AC11,"n.a.")</x:f>
        <x:v>n.a.</x:v>
      </x:c>
      <x:c r="AD12" s="76" t="str">
        <x:f>IF(ISNUMBER(AD11),AD9*AD11,"n.a.")</x:f>
        <x:v>n.a.</x:v>
      </x:c>
      <x:c r="AE12" s="76" t="str">
        <x:f>IF(ISNUMBER(AE11),AE9*AE11,"n.a.")</x:f>
        <x:v>n.a.</x:v>
      </x:c>
      <x:c r="AF12" s="76" t="str">
        <x:f>IF(ISNUMBER(AF11),AF9*AF11,"n.a.")</x:f>
        <x:v>n.a.</x:v>
      </x:c>
      <x:c r="AG12" s="76" t="str">
        <x:f>IF(ISNUMBER(AG11),AG9*AG11,"n.a.")</x:f>
        <x:v>n.a.</x:v>
      </x:c>
      <x:c r="AH12" s="76" t="str">
        <x:f>IF(ISNUMBER(AH11),AH9*AH11,"n.a.")</x:f>
        <x:v>n.a.</x:v>
      </x:c>
      <x:c r="AI12" s="76" t="str">
        <x:f>IF(ISNUMBER(AI11),AI9*AI11,"n.a.")</x:f>
        <x:v>n.a.</x:v>
      </x:c>
      <x:c r="AJ12" s="76" t="str">
        <x:f>IF(ISNUMBER(AJ11),AJ9*AJ11,"n.a.")</x:f>
        <x:v>n.a.</x:v>
      </x:c>
      <x:c r="AK12" s="76" t="str">
        <x:f>IF(ISNUMBER(AK11),AK9*AK11,"n.a.")</x:f>
        <x:v>n.a.</x:v>
      </x:c>
      <x:c r="AL12" s="76" t="str">
        <x:f>IF(ISNUMBER(AL11),AL9*AL11,"n.a.")</x:f>
        <x:v>n.a.</x:v>
      </x:c>
      <x:c r="AM12" s="76" t="str">
        <x:f>IF(ISNUMBER(AM11),AM9*AM11,"n.a.")</x:f>
        <x:v>n.a.</x:v>
      </x:c>
      <x:c r="AN12" s="76" t="str">
        <x:f>IF(ISNUMBER(AN11),AN9*AN11,"n.a.")</x:f>
        <x:v>n.a.</x:v>
      </x:c>
      <x:c r="AO12" s="76" t="str">
        <x:f>IF(ISNUMBER(AO11),AO9*AO11,"n.a.")</x:f>
        <x:v>n.a.</x:v>
      </x:c>
      <x:c r="AP12" s="76" t="str">
        <x:f>IF(ISNUMBER(AP11),AP9*AP11,"n.a.")</x:f>
        <x:v>n.a.</x:v>
      </x:c>
      <x:c r="AQ12" s="76" t="str">
        <x:f>IF(ISNUMBER(AQ11),AQ9*AQ11,"n.a.")</x:f>
        <x:v>n.a.</x:v>
      </x:c>
      <x:c r="AR12" s="76" t="str">
        <x:f>IF(ISNUMBER(AR11),AR9*AR11,"n.a.")</x:f>
        <x:v>n.a.</x:v>
      </x:c>
      <x:c r="AS12" s="76" t="str">
        <x:f>IF(ISNUMBER(AS11),AS9*AS11,"n.a.")</x:f>
        <x:v>n.a.</x:v>
      </x:c>
      <x:c r="AT12" s="76" t="str">
        <x:f>IF(ISNUMBER(AT11),AT9*AT11,"n.a.")</x:f>
        <x:v>n.a.</x:v>
      </x:c>
      <x:c r="AU12" s="76" t="str">
        <x:f>IF(ISNUMBER(AU11),AU9*AU11,"n.a.")</x:f>
        <x:v>n.a.</x:v>
      </x:c>
      <x:c r="AV12" s="76" t="str">
        <x:f>IF(ISNUMBER(AV11),AV9*AV11,"n.a.")</x:f>
        <x:v>n.a.</x:v>
      </x:c>
      <x:c r="AW12" s="76" t="str">
        <x:f>IF(ISNUMBER(AW11),AW9*AW11,"n.a.")</x:f>
        <x:v>n.a.</x:v>
      </x:c>
      <x:c r="AX12" s="76" t="str">
        <x:f>IF(ISNUMBER(AX11),AX9*AX11,"n.a.")</x:f>
        <x:v>n.a.</x:v>
      </x:c>
      <x:c r="AY12" s="76" t="str">
        <x:f>IF(ISNUMBER(AY11),AY9*AY11,"n.a.")</x:f>
        <x:v>n.a.</x:v>
      </x:c>
      <x:c r="AZ12" s="76" t="str">
        <x:f>IF(ISNUMBER(AZ11),AZ9*AZ11,"n.a.")</x:f>
        <x:v>n.a.</x:v>
      </x:c>
      <x:c r="BA12" s="76" t="str">
        <x:f>IF(ISNUMBER(BA11),BA9*BA11,"n.a.")</x:f>
        <x:v>n.a.</x:v>
      </x:c>
      <x:c r="BB12" s="76" t="str">
        <x:f>IF(ISNUMBER(BB11),BB9*BB11,"n.a.")</x:f>
        <x:v>n.a.</x:v>
      </x:c>
      <x:c r="BC12" s="76" t="str">
        <x:f>IF(ISNUMBER(BC11),BC9*BC11,"n.a.")</x:f>
        <x:v>n.a.</x:v>
      </x:c>
      <x:c r="BD12" s="76" t="str">
        <x:f>IF(ISNUMBER(BD11),BD9*BD11,"n.a.")</x:f>
        <x:v>n.a.</x:v>
      </x:c>
      <x:c r="BE12" s="76" t="str">
        <x:f>IF(ISNUMBER(BE11),BE9*BE11,"n.a.")</x:f>
        <x:v>n.a.</x:v>
      </x:c>
      <x:c r="BF12" s="76" t="str">
        <x:f>IF(ISNUMBER(BF11),BF9*BF11,"n.a.")</x:f>
        <x:v>n.a.</x:v>
      </x:c>
      <x:c r="BG12" s="76" t="str">
        <x:f>IF(ISNUMBER(BG11),BG9*BG11,"n.a.")</x:f>
        <x:v>n.a.</x:v>
      </x:c>
      <x:c r="BH12" s="76" t="str">
        <x:f>IF(ISNUMBER(BH11),BH9*BH11,"n.a.")</x:f>
        <x:v>n.a.</x:v>
      </x:c>
      <x:c r="BI12" s="76" t="str">
        <x:f>IF(ISNUMBER(BI11),BI9*BI11,"n.a.")</x:f>
        <x:v>n.a.</x:v>
      </x:c>
      <x:c r="BJ12" s="76" t="str">
        <x:f>IF(ISNUMBER(BJ11),BJ9*BJ11,"n.a.")</x:f>
        <x:v>n.a.</x:v>
      </x:c>
      <x:c r="BK12" s="76" t="str">
        <x:f>IF(ISNUMBER(BK11),BK9*BK11,"n.a.")</x:f>
        <x:v>n.a.</x:v>
      </x:c>
      <x:c r="BL12" s="76" t="str">
        <x:f>IF(ISNUMBER(BL11),BL9*BL11,"n.a.")</x:f>
        <x:v>n.a.</x:v>
      </x:c>
      <x:c r="BM12" s="76" t="str">
        <x:f>IF(ISNUMBER(BM11),BM9*BM11,"n.a.")</x:f>
        <x:v>n.a.</x:v>
      </x:c>
      <x:c r="BN12" s="76" t="str">
        <x:f>IF(ISNUMBER(BN11),BN9*BN11,"n.a.")</x:f>
        <x:v>n.a.</x:v>
      </x:c>
      <x:c r="BO12" s="76" t="str">
        <x:f>IF(ISNUMBER(BO11),BO9*BO11,"n.a.")</x:f>
        <x:v>n.a.</x:v>
      </x:c>
      <x:c r="BP12" s="76" t="str">
        <x:f>IF(ISNUMBER(BP11),BP9*BP11,"n.a.")</x:f>
        <x:v>n.a.</x:v>
      </x:c>
      <x:c r="BQ12" s="76" t="str">
        <x:f>IF(ISNUMBER(BQ11),BQ9*BQ11,"n.a.")</x:f>
        <x:v>n.a.</x:v>
      </x:c>
    </x:row>
    <x:row r="13" ht="23" customHeight="1">
      <x:c r="A13" s="2"/>
      <x:c r="B13" s="2"/>
      <x:c r="C13" s="2" t="str">
        <x:v>App gross new sales required</x:v>
      </x:c>
      <x:c r="D13" s="76" t="str">
        <x:f>IF(COUNT(J13:U13)=12,SUM(J13:U13),"n.a.")</x:f>
        <x:v>n.a.</x:v>
      </x:c>
      <x:c r="E13" s="76" t="str">
        <x:f>IF(COUNT(V13:AG13)=12,SUM(V13:AG13),"n.a.")</x:f>
        <x:v>n.a.</x:v>
      </x:c>
      <x:c r="F13" s="76" t="str">
        <x:f>IF(COUNT(AH13:AS13)=12,SUM(AH13:AS13),"n.a.")</x:f>
        <x:v>n.a.</x:v>
      </x:c>
      <x:c r="G13" s="76" t="str">
        <x:f>IF(COUNT(AT13:BE13)=12,SUM(AT13:BE13),"n.a.")</x:f>
        <x:v>n.a.</x:v>
      </x:c>
      <x:c r="H13" s="76" t="str">
        <x:f>IF(COUNT(BF13:BQ13)=12,SUM(BF13:BQ13),"n.a.")</x:f>
        <x:v>n.a.</x:v>
      </x:c>
      <x:c r="I13" s="78" t="n">
        <x:v>0</x:v>
      </x:c>
      <x:c r="J13" s="76" t="str">
        <x:f>IF(ISNUMBER(J12),SUM(J10,J12),"n.a.")</x:f>
        <x:v>n.a.</x:v>
      </x:c>
      <x:c r="K13" s="76" t="str">
        <x:f>IF(ISNUMBER(K12),SUM(K10,K12),"n.a.")</x:f>
        <x:v>n.a.</x:v>
      </x:c>
      <x:c r="L13" s="76" t="str">
        <x:f>IF(ISNUMBER(L12),SUM(L10,L12),"n.a.")</x:f>
        <x:v>n.a.</x:v>
      </x:c>
      <x:c r="M13" s="76" t="str">
        <x:f>IF(ISNUMBER(M12),SUM(M10,M12),"n.a.")</x:f>
        <x:v>n.a.</x:v>
      </x:c>
      <x:c r="N13" s="76" t="str">
        <x:f>IF(ISNUMBER(N12),SUM(N10,N12),"n.a.")</x:f>
        <x:v>n.a.</x:v>
      </x:c>
      <x:c r="O13" s="76" t="str">
        <x:f>IF(ISNUMBER(O12),SUM(O10,O12),"n.a.")</x:f>
        <x:v>n.a.</x:v>
      </x:c>
      <x:c r="P13" s="76" t="str">
        <x:f>IF(ISNUMBER(P12),SUM(P10,P12),"n.a.")</x:f>
        <x:v>n.a.</x:v>
      </x:c>
      <x:c r="Q13" s="76" t="str">
        <x:f>IF(ISNUMBER(Q12),SUM(Q10,Q12),"n.a.")</x:f>
        <x:v>n.a.</x:v>
      </x:c>
      <x:c r="R13" s="76" t="str">
        <x:f>IF(ISNUMBER(R12),SUM(R10,R12),"n.a.")</x:f>
        <x:v>n.a.</x:v>
      </x:c>
      <x:c r="S13" s="76" t="str">
        <x:f>IF(ISNUMBER(S12),SUM(S10,S12),"n.a.")</x:f>
        <x:v>n.a.</x:v>
      </x:c>
      <x:c r="T13" s="76" t="str">
        <x:f>IF(ISNUMBER(T12),SUM(T10,T12),"n.a.")</x:f>
        <x:v>n.a.</x:v>
      </x:c>
      <x:c r="U13" s="76" t="str">
        <x:f>IF(ISNUMBER(U12),SUM(U10,U12),"n.a.")</x:f>
        <x:v>n.a.</x:v>
      </x:c>
      <x:c r="V13" s="76" t="str">
        <x:f>IF(ISNUMBER(V12),SUM(V10,V12),"n.a.")</x:f>
        <x:v>n.a.</x:v>
      </x:c>
      <x:c r="W13" s="76" t="str">
        <x:f>IF(ISNUMBER(W12),SUM(W10,W12),"n.a.")</x:f>
        <x:v>n.a.</x:v>
      </x:c>
      <x:c r="X13" s="76" t="str">
        <x:f>IF(ISNUMBER(X12),SUM(X10,X12),"n.a.")</x:f>
        <x:v>n.a.</x:v>
      </x:c>
      <x:c r="Y13" s="76" t="str">
        <x:f>IF(ISNUMBER(Y12),SUM(Y10,Y12),"n.a.")</x:f>
        <x:v>n.a.</x:v>
      </x:c>
      <x:c r="Z13" s="76" t="str">
        <x:f>IF(ISNUMBER(Z12),SUM(Z10,Z12),"n.a.")</x:f>
        <x:v>n.a.</x:v>
      </x:c>
      <x:c r="AA13" s="76" t="str">
        <x:f>IF(ISNUMBER(AA12),SUM(AA10,AA12),"n.a.")</x:f>
        <x:v>n.a.</x:v>
      </x:c>
      <x:c r="AB13" s="76" t="str">
        <x:f>IF(ISNUMBER(AB12),SUM(AB10,AB12),"n.a.")</x:f>
        <x:v>n.a.</x:v>
      </x:c>
      <x:c r="AC13" s="76" t="str">
        <x:f>IF(ISNUMBER(AC12),SUM(AC10,AC12),"n.a.")</x:f>
        <x:v>n.a.</x:v>
      </x:c>
      <x:c r="AD13" s="76" t="str">
        <x:f>IF(ISNUMBER(AD12),SUM(AD10,AD12),"n.a.")</x:f>
        <x:v>n.a.</x:v>
      </x:c>
      <x:c r="AE13" s="76" t="str">
        <x:f>IF(ISNUMBER(AE12),SUM(AE10,AE12),"n.a.")</x:f>
        <x:v>n.a.</x:v>
      </x:c>
      <x:c r="AF13" s="76" t="str">
        <x:f>IF(ISNUMBER(AF12),SUM(AF10,AF12),"n.a.")</x:f>
        <x:v>n.a.</x:v>
      </x:c>
      <x:c r="AG13" s="76" t="str">
        <x:f>IF(ISNUMBER(AG12),SUM(AG10,AG12),"n.a.")</x:f>
        <x:v>n.a.</x:v>
      </x:c>
      <x:c r="AH13" s="76" t="str">
        <x:f>IF(ISNUMBER(AH12),SUM(AH10,AH12),"n.a.")</x:f>
        <x:v>n.a.</x:v>
      </x:c>
      <x:c r="AI13" s="76" t="str">
        <x:f>IF(ISNUMBER(AI12),SUM(AI10,AI12),"n.a.")</x:f>
        <x:v>n.a.</x:v>
      </x:c>
      <x:c r="AJ13" s="76" t="str">
        <x:f>IF(ISNUMBER(AJ12),SUM(AJ10,AJ12),"n.a.")</x:f>
        <x:v>n.a.</x:v>
      </x:c>
      <x:c r="AK13" s="76" t="str">
        <x:f>IF(ISNUMBER(AK12),SUM(AK10,AK12),"n.a.")</x:f>
        <x:v>n.a.</x:v>
      </x:c>
      <x:c r="AL13" s="76" t="str">
        <x:f>IF(ISNUMBER(AL12),SUM(AL10,AL12),"n.a.")</x:f>
        <x:v>n.a.</x:v>
      </x:c>
      <x:c r="AM13" s="76" t="str">
        <x:f>IF(ISNUMBER(AM12),SUM(AM10,AM12),"n.a.")</x:f>
        <x:v>n.a.</x:v>
      </x:c>
      <x:c r="AN13" s="76" t="str">
        <x:f>IF(ISNUMBER(AN12),SUM(AN10,AN12),"n.a.")</x:f>
        <x:v>n.a.</x:v>
      </x:c>
      <x:c r="AO13" s="76" t="str">
        <x:f>IF(ISNUMBER(AO12),SUM(AO10,AO12),"n.a.")</x:f>
        <x:v>n.a.</x:v>
      </x:c>
      <x:c r="AP13" s="76" t="str">
        <x:f>IF(ISNUMBER(AP12),SUM(AP10,AP12),"n.a.")</x:f>
        <x:v>n.a.</x:v>
      </x:c>
      <x:c r="AQ13" s="76" t="str">
        <x:f>IF(ISNUMBER(AQ12),SUM(AQ10,AQ12),"n.a.")</x:f>
        <x:v>n.a.</x:v>
      </x:c>
      <x:c r="AR13" s="76" t="str">
        <x:f>IF(ISNUMBER(AR12),SUM(AR10,AR12),"n.a.")</x:f>
        <x:v>n.a.</x:v>
      </x:c>
      <x:c r="AS13" s="76" t="str">
        <x:f>IF(ISNUMBER(AS12),SUM(AS10,AS12),"n.a.")</x:f>
        <x:v>n.a.</x:v>
      </x:c>
      <x:c r="AT13" s="76" t="str">
        <x:f>IF(ISNUMBER(AT12),SUM(AT10,AT12),"n.a.")</x:f>
        <x:v>n.a.</x:v>
      </x:c>
      <x:c r="AU13" s="76" t="str">
        <x:f>IF(ISNUMBER(AU12),SUM(AU10,AU12),"n.a.")</x:f>
        <x:v>n.a.</x:v>
      </x:c>
      <x:c r="AV13" s="76" t="str">
        <x:f>IF(ISNUMBER(AV12),SUM(AV10,AV12),"n.a.")</x:f>
        <x:v>n.a.</x:v>
      </x:c>
      <x:c r="AW13" s="76" t="str">
        <x:f>IF(ISNUMBER(AW12),SUM(AW10,AW12),"n.a.")</x:f>
        <x:v>n.a.</x:v>
      </x:c>
      <x:c r="AX13" s="76" t="str">
        <x:f>IF(ISNUMBER(AX12),SUM(AX10,AX12),"n.a.")</x:f>
        <x:v>n.a.</x:v>
      </x:c>
      <x:c r="AY13" s="76" t="str">
        <x:f>IF(ISNUMBER(AY12),SUM(AY10,AY12),"n.a.")</x:f>
        <x:v>n.a.</x:v>
      </x:c>
      <x:c r="AZ13" s="76" t="str">
        <x:f>IF(ISNUMBER(AZ12),SUM(AZ10,AZ12),"n.a.")</x:f>
        <x:v>n.a.</x:v>
      </x:c>
      <x:c r="BA13" s="76" t="str">
        <x:f>IF(ISNUMBER(BA12),SUM(BA10,BA12),"n.a.")</x:f>
        <x:v>n.a.</x:v>
      </x:c>
      <x:c r="BB13" s="76" t="str">
        <x:f>IF(ISNUMBER(BB12),SUM(BB10,BB12),"n.a.")</x:f>
        <x:v>n.a.</x:v>
      </x:c>
      <x:c r="BC13" s="76" t="str">
        <x:f>IF(ISNUMBER(BC12),SUM(BC10,BC12),"n.a.")</x:f>
        <x:v>n.a.</x:v>
      </x:c>
      <x:c r="BD13" s="76" t="str">
        <x:f>IF(ISNUMBER(BD12),SUM(BD10,BD12),"n.a.")</x:f>
        <x:v>n.a.</x:v>
      </x:c>
      <x:c r="BE13" s="76" t="str">
        <x:f>IF(ISNUMBER(BE12),SUM(BE10,BE12),"n.a.")</x:f>
        <x:v>n.a.</x:v>
      </x:c>
      <x:c r="BF13" s="76" t="str">
        <x:f>IF(ISNUMBER(BF12),SUM(BF10,BF12),"n.a.")</x:f>
        <x:v>n.a.</x:v>
      </x:c>
      <x:c r="BG13" s="76" t="str">
        <x:f>IF(ISNUMBER(BG12),SUM(BG10,BG12),"n.a.")</x:f>
        <x:v>n.a.</x:v>
      </x:c>
      <x:c r="BH13" s="76" t="str">
        <x:f>IF(ISNUMBER(BH12),SUM(BH10,BH12),"n.a.")</x:f>
        <x:v>n.a.</x:v>
      </x:c>
      <x:c r="BI13" s="76" t="str">
        <x:f>IF(ISNUMBER(BI12),SUM(BI10,BI12),"n.a.")</x:f>
        <x:v>n.a.</x:v>
      </x:c>
      <x:c r="BJ13" s="76" t="str">
        <x:f>IF(ISNUMBER(BJ12),SUM(BJ10,BJ12),"n.a.")</x:f>
        <x:v>n.a.</x:v>
      </x:c>
      <x:c r="BK13" s="76" t="str">
        <x:f>IF(ISNUMBER(BK12),SUM(BK10,BK12),"n.a.")</x:f>
        <x:v>n.a.</x:v>
      </x:c>
      <x:c r="BL13" s="76" t="str">
        <x:f>IF(ISNUMBER(BL12),SUM(BL10,BL12),"n.a.")</x:f>
        <x:v>n.a.</x:v>
      </x:c>
      <x:c r="BM13" s="76" t="str">
        <x:f>IF(ISNUMBER(BM12),SUM(BM10,BM12),"n.a.")</x:f>
        <x:v>n.a.</x:v>
      </x:c>
      <x:c r="BN13" s="76" t="str">
        <x:f>IF(ISNUMBER(BN12),SUM(BN10,BN12),"n.a.")</x:f>
        <x:v>n.a.</x:v>
      </x:c>
      <x:c r="BO13" s="76" t="str">
        <x:f>IF(ISNUMBER(BO12),SUM(BO10,BO12),"n.a.")</x:f>
        <x:v>n.a.</x:v>
      </x:c>
      <x:c r="BP13" s="76" t="str">
        <x:f>IF(ISNUMBER(BP12),SUM(BP10,BP12),"n.a.")</x:f>
        <x:v>n.a.</x:v>
      </x:c>
      <x:c r="BQ13" s="76" t="str">
        <x:f>IF(ISNUMBER(BQ12),SUM(BQ10,BQ12),"n.a.")</x:f>
        <x:v>n.a.</x:v>
      </x:c>
    </x:row>
    <x:row r="14" ht="23" customHeight="1">
      <x:c r="A14" s="2"/>
      <x:c r="B14" s="2"/>
      <x:c r="C14" s="2" t="str">
        <x:v>App closing subscribers</x:v>
      </x:c>
      <x:c r="D14" s="76" t="n">
        <x:f>U14</x:f>
        <x:v>500.00000000000006</x:v>
      </x:c>
      <x:c r="E14" s="76" t="n">
        <x:f>AG14</x:f>
        <x:v>2000</x:v>
      </x:c>
      <x:c r="F14" s="76" t="n">
        <x:f>AS14</x:f>
        <x:v>5000</x:v>
      </x:c>
      <x:c r="G14" s="76" t="n">
        <x:f>BE14</x:f>
        <x:v>10000</x:v>
      </x:c>
      <x:c r="H14" s="76" t="n">
        <x:f>BQ14</x:f>
        <x:v>20000</x:v>
      </x:c>
      <x:c r="I14" s="76" t="n">
        <x:f>I9</x:f>
        <x:v>0</x:v>
      </x:c>
      <x:c r="J14" s="76" t="n">
        <x:f>SUM(J9:J10)</x:f>
        <x:v>41.666666666666664</x:v>
      </x:c>
      <x:c r="K14" s="76" t="n">
        <x:f>SUM(K9:K10)</x:f>
        <x:v>83.33333333333333</x:v>
      </x:c>
      <x:c r="L14" s="76" t="n">
        <x:f>SUM(L9:L10)</x:f>
        <x:v>125</x:v>
      </x:c>
      <x:c r="M14" s="76" t="n">
        <x:f>SUM(M9:M10)</x:f>
        <x:v>166.66666666666666</x:v>
      </x:c>
      <x:c r="N14" s="76" t="n">
        <x:f>SUM(N9:N10)</x:f>
        <x:v>208.33333333333331</x:v>
      </x:c>
      <x:c r="O14" s="76" t="n">
        <x:f>SUM(O9:O10)</x:f>
        <x:v>249.99999999999997</x:v>
      </x:c>
      <x:c r="P14" s="76" t="n">
        <x:f>SUM(P9:P10)</x:f>
        <x:v>291.66666666666663</x:v>
      </x:c>
      <x:c r="Q14" s="76" t="n">
        <x:f>SUM(Q9:Q10)</x:f>
        <x:v>333.3333333333333</x:v>
      </x:c>
      <x:c r="R14" s="76" t="n">
        <x:f>SUM(R9:R10)</x:f>
        <x:v>375</x:v>
      </x:c>
      <x:c r="S14" s="76" t="n">
        <x:f>SUM(S9:S10)</x:f>
        <x:v>416.6666666666667</x:v>
      </x:c>
      <x:c r="T14" s="76" t="n">
        <x:f>SUM(T9:T10)</x:f>
        <x:v>458.33333333333337</x:v>
      </x:c>
      <x:c r="U14" s="76" t="n">
        <x:f>SUM(U9:U10)</x:f>
        <x:v>500.00000000000006</x:v>
      </x:c>
      <x:c r="V14" s="76" t="n">
        <x:f>SUM(V9:V10)</x:f>
        <x:v>625</x:v>
      </x:c>
      <x:c r="W14" s="76" t="n">
        <x:f>SUM(W9:W10)</x:f>
        <x:v>750</x:v>
      </x:c>
      <x:c r="X14" s="76" t="n">
        <x:f>SUM(X9:X10)</x:f>
        <x:v>875</x:v>
      </x:c>
      <x:c r="Y14" s="76" t="n">
        <x:f>SUM(Y9:Y10)</x:f>
        <x:v>1000</x:v>
      </x:c>
      <x:c r="Z14" s="76" t="n">
        <x:f>SUM(Z9:Z10)</x:f>
        <x:v>1125</x:v>
      </x:c>
      <x:c r="AA14" s="76" t="n">
        <x:f>SUM(AA9:AA10)</x:f>
        <x:v>1250</x:v>
      </x:c>
      <x:c r="AB14" s="76" t="n">
        <x:f>SUM(AB9:AB10)</x:f>
        <x:v>1375</x:v>
      </x:c>
      <x:c r="AC14" s="76" t="n">
        <x:f>SUM(AC9:AC10)</x:f>
        <x:v>1500</x:v>
      </x:c>
      <x:c r="AD14" s="76" t="n">
        <x:f>SUM(AD9:AD10)</x:f>
        <x:v>1625</x:v>
      </x:c>
      <x:c r="AE14" s="76" t="n">
        <x:f>SUM(AE9:AE10)</x:f>
        <x:v>1750</x:v>
      </x:c>
      <x:c r="AF14" s="76" t="n">
        <x:f>SUM(AF9:AF10)</x:f>
        <x:v>1875</x:v>
      </x:c>
      <x:c r="AG14" s="76" t="n">
        <x:f>SUM(AG9:AG10)</x:f>
        <x:v>2000</x:v>
      </x:c>
      <x:c r="AH14" s="76" t="n">
        <x:f>SUM(AH9:AH10)</x:f>
        <x:v>2250</x:v>
      </x:c>
      <x:c r="AI14" s="76" t="n">
        <x:f>SUM(AI9:AI10)</x:f>
        <x:v>2500</x:v>
      </x:c>
      <x:c r="AJ14" s="76" t="n">
        <x:f>SUM(AJ9:AJ10)</x:f>
        <x:v>2750</x:v>
      </x:c>
      <x:c r="AK14" s="76" t="n">
        <x:f>SUM(AK9:AK10)</x:f>
        <x:v>3000</x:v>
      </x:c>
      <x:c r="AL14" s="76" t="n">
        <x:f>SUM(AL9:AL10)</x:f>
        <x:v>3250</x:v>
      </x:c>
      <x:c r="AM14" s="76" t="n">
        <x:f>SUM(AM9:AM10)</x:f>
        <x:v>3500</x:v>
      </x:c>
      <x:c r="AN14" s="76" t="n">
        <x:f>SUM(AN9:AN10)</x:f>
        <x:v>3750</x:v>
      </x:c>
      <x:c r="AO14" s="76" t="n">
        <x:f>SUM(AO9:AO10)</x:f>
        <x:v>4000</x:v>
      </x:c>
      <x:c r="AP14" s="76" t="n">
        <x:f>SUM(AP9:AP10)</x:f>
        <x:v>4250</x:v>
      </x:c>
      <x:c r="AQ14" s="76" t="n">
        <x:f>SUM(AQ9:AQ10)</x:f>
        <x:v>4500</x:v>
      </x:c>
      <x:c r="AR14" s="76" t="n">
        <x:f>SUM(AR9:AR10)</x:f>
        <x:v>4750</x:v>
      </x:c>
      <x:c r="AS14" s="76" t="n">
        <x:f>SUM(AS9:AS10)</x:f>
        <x:v>5000</x:v>
      </x:c>
      <x:c r="AT14" s="76" t="n">
        <x:f>SUM(AT9:AT10)</x:f>
        <x:v>5416.666666666667</x:v>
      </x:c>
      <x:c r="AU14" s="76" t="n">
        <x:f>SUM(AU9:AU10)</x:f>
        <x:v>5833.333333333334</x:v>
      </x:c>
      <x:c r="AV14" s="76" t="n">
        <x:f>SUM(AV9:AV10)</x:f>
        <x:v>6250.000000000001</x:v>
      </x:c>
      <x:c r="AW14" s="76" t="n">
        <x:f>SUM(AW9:AW10)</x:f>
        <x:v>6666.666666666668</x:v>
      </x:c>
      <x:c r="AX14" s="76" t="n">
        <x:f>SUM(AX9:AX10)</x:f>
        <x:v>7083.333333333335</x:v>
      </x:c>
      <x:c r="AY14" s="76" t="n">
        <x:f>SUM(AY9:AY10)</x:f>
        <x:v>7500.000000000002</x:v>
      </x:c>
      <x:c r="AZ14" s="76" t="n">
        <x:f>SUM(AZ9:AZ10)</x:f>
        <x:v>7916.666666666669</x:v>
      </x:c>
      <x:c r="BA14" s="76" t="n">
        <x:f>SUM(BA9:BA10)</x:f>
        <x:v>8333.333333333336</x:v>
      </x:c>
      <x:c r="BB14" s="76" t="n">
        <x:f>SUM(BB9:BB10)</x:f>
        <x:v>8750.000000000002</x:v>
      </x:c>
      <x:c r="BC14" s="76" t="n">
        <x:f>SUM(BC9:BC10)</x:f>
        <x:v>9166.666666666668</x:v>
      </x:c>
      <x:c r="BD14" s="76" t="n">
        <x:f>SUM(BD9:BD10)</x:f>
        <x:v>9583.333333333334</x:v>
      </x:c>
      <x:c r="BE14" s="76" t="n">
        <x:f>SUM(BE9:BE10)</x:f>
        <x:v>10000</x:v>
      </x:c>
      <x:c r="BF14" s="76" t="n">
        <x:f>SUM(BF9:BF10)</x:f>
        <x:v>10833.333333333334</x:v>
      </x:c>
      <x:c r="BG14" s="76" t="n">
        <x:f>SUM(BG9:BG10)</x:f>
        <x:v>11666.666666666668</x:v>
      </x:c>
      <x:c r="BH14" s="76" t="n">
        <x:f>SUM(BH9:BH10)</x:f>
        <x:v>12500.000000000002</x:v>
      </x:c>
      <x:c r="BI14" s="76" t="n">
        <x:f>SUM(BI9:BI10)</x:f>
        <x:v>13333.333333333336</x:v>
      </x:c>
      <x:c r="BJ14" s="76" t="n">
        <x:f>SUM(BJ9:BJ10)</x:f>
        <x:v>14166.66666666667</x:v>
      </x:c>
      <x:c r="BK14" s="76" t="n">
        <x:f>SUM(BK9:BK10)</x:f>
        <x:v>15000.000000000004</x:v>
      </x:c>
      <x:c r="BL14" s="76" t="n">
        <x:f>SUM(BL9:BL10)</x:f>
        <x:v>15833.333333333338</x:v>
      </x:c>
      <x:c r="BM14" s="76" t="n">
        <x:f>SUM(BM9:BM10)</x:f>
        <x:v>16666.66666666667</x:v>
      </x:c>
      <x:c r="BN14" s="76" t="n">
        <x:f>SUM(BN9:BN10)</x:f>
        <x:v>17500.000000000004</x:v>
      </x:c>
      <x:c r="BO14" s="76" t="n">
        <x:f>SUM(BO9:BO10)</x:f>
        <x:v>18333.333333333336</x:v>
      </x:c>
      <x:c r="BP14" s="76" t="n">
        <x:f>SUM(BP9:BP10)</x:f>
        <x:v>19166.666666666668</x:v>
      </x:c>
      <x:c r="BQ14" s="76" t="n">
        <x:f>SUM(BQ9:BQ10)</x:f>
        <x:v>20000</x:v>
      </x:c>
    </x:row>
    <x:row r="15" ht="23" customHeight="1">
      <x:c r="A15" s="2"/>
      <x:c r="B15" s="2"/>
      <x:c r="C15" s="2" t="str">
        <x:v>App average billable subscribers</x:v>
      </x:c>
      <x:c r="D15" s="76" t="n">
        <x:f>IF(COUNT(J15:U15)=12,AVERAGE(J15:U15),"n.a.")</x:f>
        <x:v>250</x:v>
      </x:c>
      <x:c r="E15" s="76" t="n">
        <x:f>IF(COUNT(V15:AG15)=12,AVERAGE(V15:AG15),"n.a.")</x:f>
        <x:v>1250</x:v>
      </x:c>
      <x:c r="F15" s="76" t="n">
        <x:f>IF(COUNT(AH15:AS15)=12,AVERAGE(AH15:AS15),"n.a.")</x:f>
        <x:v>3500</x:v>
      </x:c>
      <x:c r="G15" s="76" t="n">
        <x:f>IF(COUNT(AT15:BE15)=12,AVERAGE(AT15:BE15),"n.a.")</x:f>
        <x:v>7500.000000000001</x:v>
      </x:c>
      <x:c r="H15" s="76" t="n">
        <x:f>IF(COUNT(BF15:BQ15)=12,AVERAGE(BF15:BQ15),"n.a.")</x:f>
        <x:v>15000.000000000002</x:v>
      </x:c>
      <x:c r="I15" s="76" t="n">
        <x:f>I9</x:f>
        <x:v>0</x:v>
      </x:c>
      <x:c r="J15" s="77" t="n">
        <x:f>J9+J10*'Assumptions'!D15</x:f>
        <x:v>20.833333333333332</x:v>
      </x:c>
      <x:c r="K15" s="77" t="n">
        <x:f>K9+K10*'Assumptions'!D15</x:f>
        <x:v>62.5</x:v>
      </x:c>
      <x:c r="L15" s="77" t="n">
        <x:f>L9+L10*'Assumptions'!D15</x:f>
        <x:v>104.16666666666666</x:v>
      </x:c>
      <x:c r="M15" s="77" t="n">
        <x:f>M9+M10*'Assumptions'!D15</x:f>
        <x:v>145.83333333333334</x:v>
      </x:c>
      <x:c r="N15" s="77" t="n">
        <x:f>N9+N10*'Assumptions'!D15</x:f>
        <x:v>187.5</x:v>
      </x:c>
      <x:c r="O15" s="77" t="n">
        <x:f>O9+O10*'Assumptions'!D15</x:f>
        <x:v>229.16666666666666</x:v>
      </x:c>
      <x:c r="P15" s="77" t="n">
        <x:f>P9+P10*'Assumptions'!D15</x:f>
        <x:v>270.8333333333333</x:v>
      </x:c>
      <x:c r="Q15" s="77" t="n">
        <x:f>Q9+Q10*'Assumptions'!D15</x:f>
        <x:v>312.49999999999994</x:v>
      </x:c>
      <x:c r="R15" s="77" t="n">
        <x:f>R9+R10*'Assumptions'!D15</x:f>
        <x:v>354.16666666666663</x:v>
      </x:c>
      <x:c r="S15" s="77" t="n">
        <x:f>S9+S10*'Assumptions'!D15</x:f>
        <x:v>395.8333333333333</x:v>
      </x:c>
      <x:c r="T15" s="77" t="n">
        <x:f>T9+T10*'Assumptions'!D15</x:f>
        <x:v>437.5</x:v>
      </x:c>
      <x:c r="U15" s="77" t="n">
        <x:f>U9+U10*'Assumptions'!D15</x:f>
        <x:v>479.1666666666667</x:v>
      </x:c>
      <x:c r="V15" s="77" t="n">
        <x:f>V9+V10*'Assumptions'!E15</x:f>
        <x:v>562.5</x:v>
      </x:c>
      <x:c r="W15" s="77" t="n">
        <x:f>W9+W10*'Assumptions'!E15</x:f>
        <x:v>687.5</x:v>
      </x:c>
      <x:c r="X15" s="77" t="n">
        <x:f>X9+X10*'Assumptions'!E15</x:f>
        <x:v>812.5</x:v>
      </x:c>
      <x:c r="Y15" s="77" t="n">
        <x:f>Y9+Y10*'Assumptions'!E15</x:f>
        <x:v>937.5</x:v>
      </x:c>
      <x:c r="Z15" s="77" t="n">
        <x:f>Z9+Z10*'Assumptions'!E15</x:f>
        <x:v>1062.5</x:v>
      </x:c>
      <x:c r="AA15" s="77" t="n">
        <x:f>AA9+AA10*'Assumptions'!E15</x:f>
        <x:v>1187.5</x:v>
      </x:c>
      <x:c r="AB15" s="77" t="n">
        <x:f>AB9+AB10*'Assumptions'!E15</x:f>
        <x:v>1312.5</x:v>
      </x:c>
      <x:c r="AC15" s="77" t="n">
        <x:f>AC9+AC10*'Assumptions'!E15</x:f>
        <x:v>1437.5</x:v>
      </x:c>
      <x:c r="AD15" s="77" t="n">
        <x:f>AD9+AD10*'Assumptions'!E15</x:f>
        <x:v>1562.5</x:v>
      </x:c>
      <x:c r="AE15" s="77" t="n">
        <x:f>AE9+AE10*'Assumptions'!E15</x:f>
        <x:v>1687.5</x:v>
      </x:c>
      <x:c r="AF15" s="77" t="n">
        <x:f>AF9+AF10*'Assumptions'!E15</x:f>
        <x:v>1812.5</x:v>
      </x:c>
      <x:c r="AG15" s="77" t="n">
        <x:f>AG9+AG10*'Assumptions'!E15</x:f>
        <x:v>1937.5</x:v>
      </x:c>
      <x:c r="AH15" s="77" t="n">
        <x:f>AH9+AH10*'Assumptions'!F15</x:f>
        <x:v>2125</x:v>
      </x:c>
      <x:c r="AI15" s="77" t="n">
        <x:f>AI9+AI10*'Assumptions'!F15</x:f>
        <x:v>2375</x:v>
      </x:c>
      <x:c r="AJ15" s="77" t="n">
        <x:f>AJ9+AJ10*'Assumptions'!F15</x:f>
        <x:v>2625</x:v>
      </x:c>
      <x:c r="AK15" s="77" t="n">
        <x:f>AK9+AK10*'Assumptions'!F15</x:f>
        <x:v>2875</x:v>
      </x:c>
      <x:c r="AL15" s="77" t="n">
        <x:f>AL9+AL10*'Assumptions'!F15</x:f>
        <x:v>3125</x:v>
      </x:c>
      <x:c r="AM15" s="77" t="n">
        <x:f>AM9+AM10*'Assumptions'!F15</x:f>
        <x:v>3375</x:v>
      </x:c>
      <x:c r="AN15" s="77" t="n">
        <x:f>AN9+AN10*'Assumptions'!F15</x:f>
        <x:v>3625</x:v>
      </x:c>
      <x:c r="AO15" s="77" t="n">
        <x:f>AO9+AO10*'Assumptions'!F15</x:f>
        <x:v>3875</x:v>
      </x:c>
      <x:c r="AP15" s="77" t="n">
        <x:f>AP9+AP10*'Assumptions'!F15</x:f>
        <x:v>4125</x:v>
      </x:c>
      <x:c r="AQ15" s="77" t="n">
        <x:f>AQ9+AQ10*'Assumptions'!F15</x:f>
        <x:v>4375</x:v>
      </x:c>
      <x:c r="AR15" s="77" t="n">
        <x:f>AR9+AR10*'Assumptions'!F15</x:f>
        <x:v>4625</x:v>
      </x:c>
      <x:c r="AS15" s="77" t="n">
        <x:f>AS9+AS10*'Assumptions'!F15</x:f>
        <x:v>4875</x:v>
      </x:c>
      <x:c r="AT15" s="77" t="n">
        <x:f>AT9+AT10*'Assumptions'!G15</x:f>
        <x:v>5208.333333333333</x:v>
      </x:c>
      <x:c r="AU15" s="77" t="n">
        <x:f>AU9+AU10*'Assumptions'!G15</x:f>
        <x:v>5625</x:v>
      </x:c>
      <x:c r="AV15" s="77" t="n">
        <x:f>AV9+AV10*'Assumptions'!G15</x:f>
        <x:v>6041.666666666667</x:v>
      </x:c>
      <x:c r="AW15" s="77" t="n">
        <x:f>AW9+AW10*'Assumptions'!G15</x:f>
        <x:v>6458.333333333334</x:v>
      </x:c>
      <x:c r="AX15" s="77" t="n">
        <x:f>AX9+AX10*'Assumptions'!G15</x:f>
        <x:v>6875.000000000001</x:v>
      </x:c>
      <x:c r="AY15" s="77" t="n">
        <x:f>AY9+AY10*'Assumptions'!G15</x:f>
        <x:v>7291.666666666668</x:v>
      </x:c>
      <x:c r="AZ15" s="77" t="n">
        <x:f>AZ9+AZ10*'Assumptions'!G15</x:f>
        <x:v>7708.333333333335</x:v>
      </x:c>
      <x:c r="BA15" s="77" t="n">
        <x:f>BA9+BA10*'Assumptions'!G15</x:f>
        <x:v>8125.000000000002</x:v>
      </x:c>
      <x:c r="BB15" s="77" t="n">
        <x:f>BB9+BB10*'Assumptions'!G15</x:f>
        <x:v>8541.66666666667</x:v>
      </x:c>
      <x:c r="BC15" s="77" t="n">
        <x:f>BC9+BC10*'Assumptions'!G15</x:f>
        <x:v>8958.333333333336</x:v>
      </x:c>
      <x:c r="BD15" s="77" t="n">
        <x:f>BD9+BD10*'Assumptions'!G15</x:f>
        <x:v>9375.000000000002</x:v>
      </x:c>
      <x:c r="BE15" s="77" t="n">
        <x:f>BE9+BE10*'Assumptions'!G15</x:f>
        <x:v>9791.666666666668</x:v>
      </x:c>
      <x:c r="BF15" s="77" t="n">
        <x:f>BF9+BF10*'Assumptions'!H15</x:f>
        <x:v>10416.666666666666</x:v>
      </x:c>
      <x:c r="BG15" s="77" t="n">
        <x:f>BG9+BG10*'Assumptions'!H15</x:f>
        <x:v>11250</x:v>
      </x:c>
      <x:c r="BH15" s="77" t="n">
        <x:f>BH9+BH10*'Assumptions'!H15</x:f>
        <x:v>12083.333333333334</x:v>
      </x:c>
      <x:c r="BI15" s="77" t="n">
        <x:f>BI9+BI10*'Assumptions'!H15</x:f>
        <x:v>12916.666666666668</x:v>
      </x:c>
      <x:c r="BJ15" s="77" t="n">
        <x:f>BJ9+BJ10*'Assumptions'!H15</x:f>
        <x:v>13750.000000000002</x:v>
      </x:c>
      <x:c r="BK15" s="77" t="n">
        <x:f>BK9+BK10*'Assumptions'!H15</x:f>
        <x:v>14583.333333333336</x:v>
      </x:c>
      <x:c r="BL15" s="77" t="n">
        <x:f>BL9+BL10*'Assumptions'!H15</x:f>
        <x:v>15416.66666666667</x:v>
      </x:c>
      <x:c r="BM15" s="77" t="n">
        <x:f>BM9+BM10*'Assumptions'!H15</x:f>
        <x:v>16250.000000000004</x:v>
      </x:c>
      <x:c r="BN15" s="77" t="n">
        <x:f>BN9+BN10*'Assumptions'!H15</x:f>
        <x:v>17083.33333333334</x:v>
      </x:c>
      <x:c r="BO15" s="77" t="n">
        <x:f>BO9+BO10*'Assumptions'!H15</x:f>
        <x:v>17916.66666666667</x:v>
      </x:c>
      <x:c r="BP15" s="77" t="n">
        <x:f>BP9+BP10*'Assumptions'!H15</x:f>
        <x:v>18750.000000000004</x:v>
      </x:c>
      <x:c r="BQ15" s="77" t="n">
        <x:f>BQ9+BQ10*'Assumptions'!H15</x:f>
        <x:v>19583.333333333336</x:v>
      </x:c>
    </x:row>
    <x:row r="16" ht="23" customHeight="1">
      <x:c r="A16" s="2"/>
      <x:c r="B16" s="2"/>
      <x:c r="C16" s="2" t="str">
        <x:v>App price ($/month)</x:v>
      </x:c>
      <x:c r="D16" s="69" t="n">
        <x:f>IF(COUNT(J16:U16)=12,AVERAGE(J16:U16),"n.a.")</x:f>
        <x:v>45</x:v>
      </x:c>
      <x:c r="E16" s="69" t="n">
        <x:f>IF(COUNT(V16:AG16)=12,AVERAGE(V16:AG16),"n.a.")</x:f>
        <x:v>45</x:v>
      </x:c>
      <x:c r="F16" s="69" t="n">
        <x:f>IF(COUNT(AH16:AS16)=12,AVERAGE(AH16:AS16),"n.a.")</x:f>
        <x:v>45</x:v>
      </x:c>
      <x:c r="G16" s="69" t="n">
        <x:f>IF(COUNT(AT16:BE16)=12,AVERAGE(AT16:BE16),"n.a.")</x:f>
        <x:v>45</x:v>
      </x:c>
      <x:c r="H16" s="69" t="n">
        <x:f>IF(COUNT(BF16:BQ16)=12,AVERAGE(BF16:BQ16),"n.a.")</x:f>
        <x:v>45</x:v>
      </x:c>
      <x:c r="I16" s="39" t="n">
        <x:f>'Assumptions'!D9</x:f>
        <x:v>45</x:v>
      </x:c>
      <x:c r="J16" s="39" t="n">
        <x:f>'Assumptions'!D9</x:f>
        <x:v>45</x:v>
      </x:c>
      <x:c r="K16" s="39" t="n">
        <x:f>'Assumptions'!D9</x:f>
        <x:v>45</x:v>
      </x:c>
      <x:c r="L16" s="39" t="n">
        <x:f>'Assumptions'!D9</x:f>
        <x:v>45</x:v>
      </x:c>
      <x:c r="M16" s="39" t="n">
        <x:f>'Assumptions'!D9</x:f>
        <x:v>45</x:v>
      </x:c>
      <x:c r="N16" s="39" t="n">
        <x:f>'Assumptions'!D9</x:f>
        <x:v>45</x:v>
      </x:c>
      <x:c r="O16" s="39" t="n">
        <x:f>'Assumptions'!D9</x:f>
        <x:v>45</x:v>
      </x:c>
      <x:c r="P16" s="39" t="n">
        <x:f>'Assumptions'!D9</x:f>
        <x:v>45</x:v>
      </x:c>
      <x:c r="Q16" s="39" t="n">
        <x:f>'Assumptions'!D9</x:f>
        <x:v>45</x:v>
      </x:c>
      <x:c r="R16" s="39" t="n">
        <x:f>'Assumptions'!D9</x:f>
        <x:v>45</x:v>
      </x:c>
      <x:c r="S16" s="39" t="n">
        <x:f>'Assumptions'!D9</x:f>
        <x:v>45</x:v>
      </x:c>
      <x:c r="T16" s="39" t="n">
        <x:f>'Assumptions'!D9</x:f>
        <x:v>45</x:v>
      </x:c>
      <x:c r="U16" s="39" t="n">
        <x:f>'Assumptions'!D9</x:f>
        <x:v>45</x:v>
      </x:c>
      <x:c r="V16" s="39" t="n">
        <x:f>'Assumptions'!E9</x:f>
        <x:v>45</x:v>
      </x:c>
      <x:c r="W16" s="39" t="n">
        <x:f>'Assumptions'!E9</x:f>
        <x:v>45</x:v>
      </x:c>
      <x:c r="X16" s="39" t="n">
        <x:f>'Assumptions'!E9</x:f>
        <x:v>45</x:v>
      </x:c>
      <x:c r="Y16" s="39" t="n">
        <x:f>'Assumptions'!E9</x:f>
        <x:v>45</x:v>
      </x:c>
      <x:c r="Z16" s="39" t="n">
        <x:f>'Assumptions'!E9</x:f>
        <x:v>45</x:v>
      </x:c>
      <x:c r="AA16" s="39" t="n">
        <x:f>'Assumptions'!E9</x:f>
        <x:v>45</x:v>
      </x:c>
      <x:c r="AB16" s="39" t="n">
        <x:f>'Assumptions'!E9</x:f>
        <x:v>45</x:v>
      </x:c>
      <x:c r="AC16" s="39" t="n">
        <x:f>'Assumptions'!E9</x:f>
        <x:v>45</x:v>
      </x:c>
      <x:c r="AD16" s="39" t="n">
        <x:f>'Assumptions'!E9</x:f>
        <x:v>45</x:v>
      </x:c>
      <x:c r="AE16" s="39" t="n">
        <x:f>'Assumptions'!E9</x:f>
        <x:v>45</x:v>
      </x:c>
      <x:c r="AF16" s="39" t="n">
        <x:f>'Assumptions'!E9</x:f>
        <x:v>45</x:v>
      </x:c>
      <x:c r="AG16" s="39" t="n">
        <x:f>'Assumptions'!E9</x:f>
        <x:v>45</x:v>
      </x:c>
      <x:c r="AH16" s="39" t="n">
        <x:f>'Assumptions'!F9</x:f>
        <x:v>45</x:v>
      </x:c>
      <x:c r="AI16" s="39" t="n">
        <x:f>'Assumptions'!F9</x:f>
        <x:v>45</x:v>
      </x:c>
      <x:c r="AJ16" s="39" t="n">
        <x:f>'Assumptions'!F9</x:f>
        <x:v>45</x:v>
      </x:c>
      <x:c r="AK16" s="39" t="n">
        <x:f>'Assumptions'!F9</x:f>
        <x:v>45</x:v>
      </x:c>
      <x:c r="AL16" s="39" t="n">
        <x:f>'Assumptions'!F9</x:f>
        <x:v>45</x:v>
      </x:c>
      <x:c r="AM16" s="39" t="n">
        <x:f>'Assumptions'!F9</x:f>
        <x:v>45</x:v>
      </x:c>
      <x:c r="AN16" s="39" t="n">
        <x:f>'Assumptions'!F9</x:f>
        <x:v>45</x:v>
      </x:c>
      <x:c r="AO16" s="39" t="n">
        <x:f>'Assumptions'!F9</x:f>
        <x:v>45</x:v>
      </x:c>
      <x:c r="AP16" s="39" t="n">
        <x:f>'Assumptions'!F9</x:f>
        <x:v>45</x:v>
      </x:c>
      <x:c r="AQ16" s="39" t="n">
        <x:f>'Assumptions'!F9</x:f>
        <x:v>45</x:v>
      </x:c>
      <x:c r="AR16" s="39" t="n">
        <x:f>'Assumptions'!F9</x:f>
        <x:v>45</x:v>
      </x:c>
      <x:c r="AS16" s="39" t="n">
        <x:f>'Assumptions'!F9</x:f>
        <x:v>45</x:v>
      </x:c>
      <x:c r="AT16" s="39" t="n">
        <x:f>'Assumptions'!G9</x:f>
        <x:v>45</x:v>
      </x:c>
      <x:c r="AU16" s="39" t="n">
        <x:f>'Assumptions'!G9</x:f>
        <x:v>45</x:v>
      </x:c>
      <x:c r="AV16" s="39" t="n">
        <x:f>'Assumptions'!G9</x:f>
        <x:v>45</x:v>
      </x:c>
      <x:c r="AW16" s="39" t="n">
        <x:f>'Assumptions'!G9</x:f>
        <x:v>45</x:v>
      </x:c>
      <x:c r="AX16" s="39" t="n">
        <x:f>'Assumptions'!G9</x:f>
        <x:v>45</x:v>
      </x:c>
      <x:c r="AY16" s="39" t="n">
        <x:f>'Assumptions'!G9</x:f>
        <x:v>45</x:v>
      </x:c>
      <x:c r="AZ16" s="39" t="n">
        <x:f>'Assumptions'!G9</x:f>
        <x:v>45</x:v>
      </x:c>
      <x:c r="BA16" s="39" t="n">
        <x:f>'Assumptions'!G9</x:f>
        <x:v>45</x:v>
      </x:c>
      <x:c r="BB16" s="39" t="n">
        <x:f>'Assumptions'!G9</x:f>
        <x:v>45</x:v>
      </x:c>
      <x:c r="BC16" s="39" t="n">
        <x:f>'Assumptions'!G9</x:f>
        <x:v>45</x:v>
      </x:c>
      <x:c r="BD16" s="39" t="n">
        <x:f>'Assumptions'!G9</x:f>
        <x:v>45</x:v>
      </x:c>
      <x:c r="BE16" s="39" t="n">
        <x:f>'Assumptions'!G9</x:f>
        <x:v>45</x:v>
      </x:c>
      <x:c r="BF16" s="39" t="n">
        <x:f>'Assumptions'!H9</x:f>
        <x:v>45</x:v>
      </x:c>
      <x:c r="BG16" s="39" t="n">
        <x:f>'Assumptions'!H9</x:f>
        <x:v>45</x:v>
      </x:c>
      <x:c r="BH16" s="39" t="n">
        <x:f>'Assumptions'!H9</x:f>
        <x:v>45</x:v>
      </x:c>
      <x:c r="BI16" s="39" t="n">
        <x:f>'Assumptions'!H9</x:f>
        <x:v>45</x:v>
      </x:c>
      <x:c r="BJ16" s="39" t="n">
        <x:f>'Assumptions'!H9</x:f>
        <x:v>45</x:v>
      </x:c>
      <x:c r="BK16" s="39" t="n">
        <x:f>'Assumptions'!H9</x:f>
        <x:v>45</x:v>
      </x:c>
      <x:c r="BL16" s="39" t="n">
        <x:f>'Assumptions'!H9</x:f>
        <x:v>45</x:v>
      </x:c>
      <x:c r="BM16" s="39" t="n">
        <x:f>'Assumptions'!H9</x:f>
        <x:v>45</x:v>
      </x:c>
      <x:c r="BN16" s="39" t="n">
        <x:f>'Assumptions'!H9</x:f>
        <x:v>45</x:v>
      </x:c>
      <x:c r="BO16" s="39" t="n">
        <x:f>'Assumptions'!H9</x:f>
        <x:v>45</x:v>
      </x:c>
      <x:c r="BP16" s="39" t="n">
        <x:f>'Assumptions'!H9</x:f>
        <x:v>45</x:v>
      </x:c>
      <x:c r="BQ16" s="39" t="n">
        <x:f>'Assumptions'!H9</x:f>
        <x:v>45</x:v>
      </x:c>
    </x:row>
    <x:row r="17" ht="25" customHeight="1">
      <x:c r="A17" s="2"/>
      <x:c r="B17" s="2"/>
      <x:c r="C17" s="84" t="str">
        <x:v>App revenue earned in period</x:v>
      </x:c>
      <x:c r="D17" s="85" t="n">
        <x:f>SUM(J17:U17)</x:f>
        <x:v>135000</x:v>
      </x:c>
      <x:c r="E17" s="85" t="n">
        <x:f>SUM(V17:AG17)</x:f>
        <x:v>675000</x:v>
      </x:c>
      <x:c r="F17" s="85" t="n">
        <x:f>SUM(AH17:AS17)</x:f>
        <x:v>1890000</x:v>
      </x:c>
      <x:c r="G17" s="85" t="n">
        <x:f>SUM(AT17:BE17)</x:f>
        <x:v>4050000</x:v>
      </x:c>
      <x:c r="H17" s="85" t="n">
        <x:f>SUM(BF17:BQ17)</x:f>
        <x:v>8100000</x:v>
      </x:c>
      <x:c r="I17" s="85" t="n">
        <x:f>I15*I16</x:f>
        <x:v>0</x:v>
      </x:c>
      <x:c r="J17" s="85" t="n">
        <x:f>J15*J16</x:f>
        <x:v>937.5</x:v>
      </x:c>
      <x:c r="K17" s="85" t="n">
        <x:f>K15*K16</x:f>
        <x:v>2812.5</x:v>
      </x:c>
      <x:c r="L17" s="85" t="n">
        <x:f>L15*L16</x:f>
        <x:v>4687.5</x:v>
      </x:c>
      <x:c r="M17" s="85" t="n">
        <x:f>M15*M16</x:f>
        <x:v>6562.5</x:v>
      </x:c>
      <x:c r="N17" s="85" t="n">
        <x:f>N15*N16</x:f>
        <x:v>8437.5</x:v>
      </x:c>
      <x:c r="O17" s="85" t="n">
        <x:f>O15*O16</x:f>
        <x:v>10312.5</x:v>
      </x:c>
      <x:c r="P17" s="85" t="n">
        <x:f>P15*P16</x:f>
        <x:v>12187.5</x:v>
      </x:c>
      <x:c r="Q17" s="85" t="n">
        <x:f>Q15*Q16</x:f>
        <x:v>14062.499999999998</x:v>
      </x:c>
      <x:c r="R17" s="85" t="n">
        <x:f>R15*R16</x:f>
        <x:v>15937.499999999998</x:v>
      </x:c>
      <x:c r="S17" s="85" t="n">
        <x:f>S15*S16</x:f>
        <x:v>17812.5</x:v>
      </x:c>
      <x:c r="T17" s="85" t="n">
        <x:f>T15*T16</x:f>
        <x:v>19687.5</x:v>
      </x:c>
      <x:c r="U17" s="85" t="n">
        <x:f>U15*U16</x:f>
        <x:v>21562.5</x:v>
      </x:c>
      <x:c r="V17" s="85" t="n">
        <x:f>V15*V16</x:f>
        <x:v>25312.5</x:v>
      </x:c>
      <x:c r="W17" s="85" t="n">
        <x:f>W15*W16</x:f>
        <x:v>30937.5</x:v>
      </x:c>
      <x:c r="X17" s="85" t="n">
        <x:f>X15*X16</x:f>
        <x:v>36562.5</x:v>
      </x:c>
      <x:c r="Y17" s="85" t="n">
        <x:f>Y15*Y16</x:f>
        <x:v>42187.5</x:v>
      </x:c>
      <x:c r="Z17" s="85" t="n">
        <x:f>Z15*Z16</x:f>
        <x:v>47812.5</x:v>
      </x:c>
      <x:c r="AA17" s="85" t="n">
        <x:f>AA15*AA16</x:f>
        <x:v>53437.5</x:v>
      </x:c>
      <x:c r="AB17" s="85" t="n">
        <x:f>AB15*AB16</x:f>
        <x:v>59062.5</x:v>
      </x:c>
      <x:c r="AC17" s="85" t="n">
        <x:f>AC15*AC16</x:f>
        <x:v>64687.5</x:v>
      </x:c>
      <x:c r="AD17" s="85" t="n">
        <x:f>AD15*AD16</x:f>
        <x:v>70312.5</x:v>
      </x:c>
      <x:c r="AE17" s="85" t="n">
        <x:f>AE15*AE16</x:f>
        <x:v>75937.5</x:v>
      </x:c>
      <x:c r="AF17" s="85" t="n">
        <x:f>AF15*AF16</x:f>
        <x:v>81562.5</x:v>
      </x:c>
      <x:c r="AG17" s="85" t="n">
        <x:f>AG15*AG16</x:f>
        <x:v>87187.5</x:v>
      </x:c>
      <x:c r="AH17" s="85" t="n">
        <x:f>AH15*AH16</x:f>
        <x:v>95625</x:v>
      </x:c>
      <x:c r="AI17" s="85" t="n">
        <x:f>AI15*AI16</x:f>
        <x:v>106875</x:v>
      </x:c>
      <x:c r="AJ17" s="85" t="n">
        <x:f>AJ15*AJ16</x:f>
        <x:v>118125</x:v>
      </x:c>
      <x:c r="AK17" s="85" t="n">
        <x:f>AK15*AK16</x:f>
        <x:v>129375</x:v>
      </x:c>
      <x:c r="AL17" s="85" t="n">
        <x:f>AL15*AL16</x:f>
        <x:v>140625</x:v>
      </x:c>
      <x:c r="AM17" s="85" t="n">
        <x:f>AM15*AM16</x:f>
        <x:v>151875</x:v>
      </x:c>
      <x:c r="AN17" s="85" t="n">
        <x:f>AN15*AN16</x:f>
        <x:v>163125</x:v>
      </x:c>
      <x:c r="AO17" s="85" t="n">
        <x:f>AO15*AO16</x:f>
        <x:v>174375</x:v>
      </x:c>
      <x:c r="AP17" s="85" t="n">
        <x:f>AP15*AP16</x:f>
        <x:v>185625</x:v>
      </x:c>
      <x:c r="AQ17" s="85" t="n">
        <x:f>AQ15*AQ16</x:f>
        <x:v>196875</x:v>
      </x:c>
      <x:c r="AR17" s="85" t="n">
        <x:f>AR15*AR16</x:f>
        <x:v>208125</x:v>
      </x:c>
      <x:c r="AS17" s="85" t="n">
        <x:f>AS15*AS16</x:f>
        <x:v>219375</x:v>
      </x:c>
      <x:c r="AT17" s="85" t="n">
        <x:f>AT15*AT16</x:f>
        <x:v>234375</x:v>
      </x:c>
      <x:c r="AU17" s="85" t="n">
        <x:f>AU15*AU16</x:f>
        <x:v>253125</x:v>
      </x:c>
      <x:c r="AV17" s="85" t="n">
        <x:f>AV15*AV16</x:f>
        <x:v>271875</x:v>
      </x:c>
      <x:c r="AW17" s="85" t="n">
        <x:f>AW15*AW16</x:f>
        <x:v>290625</x:v>
      </x:c>
      <x:c r="AX17" s="85" t="n">
        <x:f>AX15*AX16</x:f>
        <x:v>309375.00000000006</x:v>
      </x:c>
      <x:c r="AY17" s="85" t="n">
        <x:f>AY15*AY16</x:f>
        <x:v>328125.00000000006</x:v>
      </x:c>
      <x:c r="AZ17" s="85" t="n">
        <x:f>AZ15*AZ16</x:f>
        <x:v>346875.00000000006</x:v>
      </x:c>
      <x:c r="BA17" s="85" t="n">
        <x:f>BA15*BA16</x:f>
        <x:v>365625.00000000006</x:v>
      </x:c>
      <x:c r="BB17" s="85" t="n">
        <x:f>BB15*BB16</x:f>
        <x:v>384375.0000000001</x:v>
      </x:c>
      <x:c r="BC17" s="85" t="n">
        <x:f>BC15*BC16</x:f>
        <x:v>403125.0000000001</x:v>
      </x:c>
      <x:c r="BD17" s="85" t="n">
        <x:f>BD15*BD16</x:f>
        <x:v>421875.00000000006</x:v>
      </x:c>
      <x:c r="BE17" s="85" t="n">
        <x:f>BE15*BE16</x:f>
        <x:v>440625.00000000006</x:v>
      </x:c>
      <x:c r="BF17" s="85" t="n">
        <x:f>BF15*BF16</x:f>
        <x:v>468750</x:v>
      </x:c>
      <x:c r="BG17" s="85" t="n">
        <x:f>BG15*BG16</x:f>
        <x:v>506250</x:v>
      </x:c>
      <x:c r="BH17" s="85" t="n">
        <x:f>BH15*BH16</x:f>
        <x:v>543750</x:v>
      </x:c>
      <x:c r="BI17" s="85" t="n">
        <x:f>BI15*BI16</x:f>
        <x:v>581250</x:v>
      </x:c>
      <x:c r="BJ17" s="85" t="n">
        <x:f>BJ15*BJ16</x:f>
        <x:v>618750.0000000001</x:v>
      </x:c>
      <x:c r="BK17" s="85" t="n">
        <x:f>BK15*BK16</x:f>
        <x:v>656250.0000000001</x:v>
      </x:c>
      <x:c r="BL17" s="85" t="n">
        <x:f>BL15*BL16</x:f>
        <x:v>693750.0000000001</x:v>
      </x:c>
      <x:c r="BM17" s="85" t="n">
        <x:f>BM15*BM16</x:f>
        <x:v>731250.0000000001</x:v>
      </x:c>
      <x:c r="BN17" s="85" t="n">
        <x:f>BN15*BN16</x:f>
        <x:v>768750.0000000002</x:v>
      </x:c>
      <x:c r="BO17" s="85" t="n">
        <x:f>BO15*BO16</x:f>
        <x:v>806250.0000000002</x:v>
      </x:c>
      <x:c r="BP17" s="85" t="n">
        <x:f>BP15*BP16</x:f>
        <x:v>843750.0000000001</x:v>
      </x:c>
      <x:c r="BQ17" s="85" t="n">
        <x:f>BQ15*BQ16</x:f>
        <x:v>881250.0000000001</x:v>
      </x:c>
    </x:row>
    <x:row r="18" ht="25" customHeight="1">
      <x:c r="A18" s="2"/>
      <x:c r="B18" s="2"/>
      <x:c r="C18" s="84" t="str">
        <x:v>App exit annualized revenue</x:v>
      </x:c>
      <x:c r="D18" s="85" t="n">
        <x:f>U18</x:f>
        <x:v>270000.00000000006</x:v>
      </x:c>
      <x:c r="E18" s="85" t="n">
        <x:f>AG18</x:f>
        <x:v>1080000</x:v>
      </x:c>
      <x:c r="F18" s="85" t="n">
        <x:f>AS18</x:f>
        <x:v>2700000</x:v>
      </x:c>
      <x:c r="G18" s="85" t="n">
        <x:f>BE18</x:f>
        <x:v>5400000</x:v>
      </x:c>
      <x:c r="H18" s="85" t="n">
        <x:f>BQ18</x:f>
        <x:v>10800000</x:v>
      </x:c>
      <x:c r="I18" s="85" t="n">
        <x:f>I14*I16*12</x:f>
        <x:v>0</x:v>
      </x:c>
      <x:c r="J18" s="85" t="n">
        <x:f>J14*J16*12</x:f>
        <x:v>22500</x:v>
      </x:c>
      <x:c r="K18" s="85" t="n">
        <x:f>K14*K16*12</x:f>
        <x:v>45000</x:v>
      </x:c>
      <x:c r="L18" s="85" t="n">
        <x:f>L14*L16*12</x:f>
        <x:v>67500</x:v>
      </x:c>
      <x:c r="M18" s="85" t="n">
        <x:f>M14*M16*12</x:f>
        <x:v>90000</x:v>
      </x:c>
      <x:c r="N18" s="85" t="n">
        <x:f>N14*N16*12</x:f>
        <x:v>112500</x:v>
      </x:c>
      <x:c r="O18" s="85" t="n">
        <x:f>O14*O16*12</x:f>
        <x:v>134999.99999999997</x:v>
      </x:c>
      <x:c r="P18" s="85" t="n">
        <x:f>P14*P16*12</x:f>
        <x:v>157499.99999999997</x:v>
      </x:c>
      <x:c r="Q18" s="85" t="n">
        <x:f>Q14*Q16*12</x:f>
        <x:v>180000</x:v>
      </x:c>
      <x:c r="R18" s="85" t="n">
        <x:f>R14*R16*12</x:f>
        <x:v>202500</x:v>
      </x:c>
      <x:c r="S18" s="85" t="n">
        <x:f>S14*S16*12</x:f>
        <x:v>225000</x:v>
      </x:c>
      <x:c r="T18" s="85" t="n">
        <x:f>T14*T16*12</x:f>
        <x:v>247500</x:v>
      </x:c>
      <x:c r="U18" s="85" t="n">
        <x:f>U14*U16*12</x:f>
        <x:v>270000.00000000006</x:v>
      </x:c>
      <x:c r="V18" s="85" t="n">
        <x:f>V14*V16*12</x:f>
        <x:v>337500</x:v>
      </x:c>
      <x:c r="W18" s="85" t="n">
        <x:f>W14*W16*12</x:f>
        <x:v>405000</x:v>
      </x:c>
      <x:c r="X18" s="85" t="n">
        <x:f>X14*X16*12</x:f>
        <x:v>472500</x:v>
      </x:c>
      <x:c r="Y18" s="85" t="n">
        <x:f>Y14*Y16*12</x:f>
        <x:v>540000</x:v>
      </x:c>
      <x:c r="Z18" s="85" t="n">
        <x:f>Z14*Z16*12</x:f>
        <x:v>607500</x:v>
      </x:c>
      <x:c r="AA18" s="85" t="n">
        <x:f>AA14*AA16*12</x:f>
        <x:v>675000</x:v>
      </x:c>
      <x:c r="AB18" s="85" t="n">
        <x:f>AB14*AB16*12</x:f>
        <x:v>742500</x:v>
      </x:c>
      <x:c r="AC18" s="85" t="n">
        <x:f>AC14*AC16*12</x:f>
        <x:v>810000</x:v>
      </x:c>
      <x:c r="AD18" s="85" t="n">
        <x:f>AD14*AD16*12</x:f>
        <x:v>877500</x:v>
      </x:c>
      <x:c r="AE18" s="85" t="n">
        <x:f>AE14*AE16*12</x:f>
        <x:v>945000</x:v>
      </x:c>
      <x:c r="AF18" s="85" t="n">
        <x:f>AF14*AF16*12</x:f>
        <x:v>1012500</x:v>
      </x:c>
      <x:c r="AG18" s="85" t="n">
        <x:f>AG14*AG16*12</x:f>
        <x:v>1080000</x:v>
      </x:c>
      <x:c r="AH18" s="85" t="n">
        <x:f>AH14*AH16*12</x:f>
        <x:v>1215000</x:v>
      </x:c>
      <x:c r="AI18" s="85" t="n">
        <x:f>AI14*AI16*12</x:f>
        <x:v>1350000</x:v>
      </x:c>
      <x:c r="AJ18" s="85" t="n">
        <x:f>AJ14*AJ16*12</x:f>
        <x:v>1485000</x:v>
      </x:c>
      <x:c r="AK18" s="85" t="n">
        <x:f>AK14*AK16*12</x:f>
        <x:v>1620000</x:v>
      </x:c>
      <x:c r="AL18" s="85" t="n">
        <x:f>AL14*AL16*12</x:f>
        <x:v>1755000</x:v>
      </x:c>
      <x:c r="AM18" s="85" t="n">
        <x:f>AM14*AM16*12</x:f>
        <x:v>1890000</x:v>
      </x:c>
      <x:c r="AN18" s="85" t="n">
        <x:f>AN14*AN16*12</x:f>
        <x:v>2025000</x:v>
      </x:c>
      <x:c r="AO18" s="85" t="n">
        <x:f>AO14*AO16*12</x:f>
        <x:v>2160000</x:v>
      </x:c>
      <x:c r="AP18" s="85" t="n">
        <x:f>AP14*AP16*12</x:f>
        <x:v>2295000</x:v>
      </x:c>
      <x:c r="AQ18" s="85" t="n">
        <x:f>AQ14*AQ16*12</x:f>
        <x:v>2430000</x:v>
      </x:c>
      <x:c r="AR18" s="85" t="n">
        <x:f>AR14*AR16*12</x:f>
        <x:v>2565000</x:v>
      </x:c>
      <x:c r="AS18" s="85" t="n">
        <x:f>AS14*AS16*12</x:f>
        <x:v>2700000</x:v>
      </x:c>
      <x:c r="AT18" s="85" t="n">
        <x:f>AT14*AT16*12</x:f>
        <x:v>2925000</x:v>
      </x:c>
      <x:c r="AU18" s="85" t="n">
        <x:f>AU14*AU16*12</x:f>
        <x:v>3150000</x:v>
      </x:c>
      <x:c r="AV18" s="85" t="n">
        <x:f>AV14*AV16*12</x:f>
        <x:v>3375000.000000001</x:v>
      </x:c>
      <x:c r="AW18" s="85" t="n">
        <x:f>AW14*AW16*12</x:f>
        <x:v>3600000.000000001</x:v>
      </x:c>
      <x:c r="AX18" s="85" t="n">
        <x:f>AX14*AX16*12</x:f>
        <x:v>3825000.000000001</x:v>
      </x:c>
      <x:c r="AY18" s="85" t="n">
        <x:f>AY14*AY16*12</x:f>
        <x:v>4050000.000000001</x:v>
      </x:c>
      <x:c r="AZ18" s="85" t="n">
        <x:f>AZ14*AZ16*12</x:f>
        <x:v>4275000.000000002</x:v>
      </x:c>
      <x:c r="BA18" s="85" t="n">
        <x:f>BA14*BA16*12</x:f>
        <x:v>4500000.000000002</x:v>
      </x:c>
      <x:c r="BB18" s="85" t="n">
        <x:f>BB14*BB16*12</x:f>
        <x:v>4725000.000000001</x:v>
      </x:c>
      <x:c r="BC18" s="85" t="n">
        <x:f>BC14*BC16*12</x:f>
        <x:v>4950000.000000001</x:v>
      </x:c>
      <x:c r="BD18" s="85" t="n">
        <x:f>BD14*BD16*12</x:f>
        <x:v>5175000</x:v>
      </x:c>
      <x:c r="BE18" s="85" t="n">
        <x:f>BE14*BE16*12</x:f>
        <x:v>5400000</x:v>
      </x:c>
      <x:c r="BF18" s="85" t="n">
        <x:f>BF14*BF16*12</x:f>
        <x:v>5850000</x:v>
      </x:c>
      <x:c r="BG18" s="85" t="n">
        <x:f>BG14*BG16*12</x:f>
        <x:v>6300000</x:v>
      </x:c>
      <x:c r="BH18" s="85" t="n">
        <x:f>BH14*BH16*12</x:f>
        <x:v>6750000.000000002</x:v>
      </x:c>
      <x:c r="BI18" s="85" t="n">
        <x:f>BI14*BI16*12</x:f>
        <x:v>7200000.000000002</x:v>
      </x:c>
      <x:c r="BJ18" s="85" t="n">
        <x:f>BJ14*BJ16*12</x:f>
        <x:v>7650000.000000002</x:v>
      </x:c>
      <x:c r="BK18" s="85" t="n">
        <x:f>BK14*BK16*12</x:f>
        <x:v>8100000.000000002</x:v>
      </x:c>
      <x:c r="BL18" s="85" t="n">
        <x:f>BL14*BL16*12</x:f>
        <x:v>8550000.000000004</x:v>
      </x:c>
      <x:c r="BM18" s="85" t="n">
        <x:f>BM14*BM16*12</x:f>
        <x:v>9000000.000000004</x:v>
      </x:c>
      <x:c r="BN18" s="85" t="n">
        <x:f>BN14*BN16*12</x:f>
        <x:v>9450000.000000002</x:v>
      </x:c>
      <x:c r="BO18" s="85" t="n">
        <x:f>BO14*BO16*12</x:f>
        <x:v>9900000.000000002</x:v>
      </x:c>
      <x:c r="BP18" s="85" t="n">
        <x:f>BP14*BP16*12</x:f>
        <x:v>10350000</x:v>
      </x:c>
      <x:c r="BQ18" s="85" t="n">
        <x:f>BQ14*BQ16*12</x:f>
        <x:v>10800000</x:v>
      </x:c>
    </x:row>
    <x:row r="19" ht="23" customHeight="1">
      <x:c r="A19" s="2"/>
      <x:c r="B19" s="2"/>
      <x:c r="C19" s="2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  <x:c r="AP19" s="4"/>
      <x:c r="AQ19" s="4"/>
      <x:c r="AR19" s="4"/>
      <x:c r="AS19" s="4"/>
      <x:c r="AT19" s="4"/>
      <x:c r="AU19" s="4"/>
      <x:c r="AV19" s="4"/>
      <x:c r="AW19" s="4"/>
      <x:c r="AX19" s="4"/>
      <x:c r="AY19" s="4"/>
      <x:c r="AZ19" s="4"/>
      <x:c r="BA19" s="4"/>
      <x:c r="BB19" s="4"/>
      <x:c r="BC19" s="4"/>
      <x:c r="BD19" s="4"/>
      <x:c r="BE19" s="4"/>
      <x:c r="BF19" s="4"/>
      <x:c r="BG19" s="4"/>
      <x:c r="BH19" s="4"/>
      <x:c r="BI19" s="4"/>
      <x:c r="BJ19" s="4"/>
      <x:c r="BK19" s="4"/>
      <x:c r="BL19" s="4"/>
      <x:c r="BM19" s="4"/>
      <x:c r="BN19" s="4"/>
      <x:c r="BO19" s="4"/>
      <x:c r="BP19" s="4"/>
      <x:c r="BQ19" s="4"/>
    </x:row>
    <x:row r="20" ht="23" customHeight="1">
      <x:c r="A20" s="2"/>
      <x:c r="B20" s="2"/>
      <x:c r="C20" s="2" t="str">
        <x:v>Strategy opening subscribers</x:v>
      </x:c>
      <x:c r="D20" s="76" t="n">
        <x:f>J20</x:f>
        <x:v>500</x:v>
      </x:c>
      <x:c r="E20" s="76" t="n">
        <x:f>V20</x:f>
        <x:v>500</x:v>
      </x:c>
      <x:c r="F20" s="76" t="n">
        <x:f>AH20</x:f>
        <x:v>999.9999999999995</x:v>
      </x:c>
      <x:c r="G20" s="76" t="n">
        <x:f>AT20</x:f>
        <x:v>2499.9999999999995</x:v>
      </x:c>
      <x:c r="H20" s="76" t="n">
        <x:f>BF20</x:f>
        <x:v>5500</x:v>
      </x:c>
      <x:c r="I20" s="77" t="n">
        <x:f>'Assumptions'!$D$20</x:f>
        <x:v>0</x:v>
      </x:c>
      <x:c r="J20" s="76" t="n">
        <x:f>I25</x:f>
        <x:v>500</x:v>
      </x:c>
      <x:c r="K20" s="76" t="n">
        <x:f>J25</x:f>
        <x:v>500</x:v>
      </x:c>
      <x:c r="L20" s="76" t="n">
        <x:f>K25</x:f>
        <x:v>500</x:v>
      </x:c>
      <x:c r="M20" s="76" t="n">
        <x:f>L25</x:f>
        <x:v>500</x:v>
      </x:c>
      <x:c r="N20" s="76" t="n">
        <x:f>M25</x:f>
        <x:v>500</x:v>
      </x:c>
      <x:c r="O20" s="76" t="n">
        <x:f>N25</x:f>
        <x:v>500</x:v>
      </x:c>
      <x:c r="P20" s="76" t="n">
        <x:f>O25</x:f>
        <x:v>500</x:v>
      </x:c>
      <x:c r="Q20" s="76" t="n">
        <x:f>P25</x:f>
        <x:v>500</x:v>
      </x:c>
      <x:c r="R20" s="76" t="n">
        <x:f>Q25</x:f>
        <x:v>500</x:v>
      </x:c>
      <x:c r="S20" s="76" t="n">
        <x:f>R25</x:f>
        <x:v>500</x:v>
      </x:c>
      <x:c r="T20" s="76" t="n">
        <x:f>S25</x:f>
        <x:v>500</x:v>
      </x:c>
      <x:c r="U20" s="76" t="n">
        <x:f>T25</x:f>
        <x:v>500</x:v>
      </x:c>
      <x:c r="V20" s="76" t="n">
        <x:f>U25</x:f>
        <x:v>500</x:v>
      </x:c>
      <x:c r="W20" s="76" t="n">
        <x:f>V25</x:f>
        <x:v>541.6666666666666</x:v>
      </x:c>
      <x:c r="X20" s="76" t="n">
        <x:f>W25</x:f>
        <x:v>583.3333333333333</x:v>
      </x:c>
      <x:c r="Y20" s="76" t="n">
        <x:f>X25</x:f>
        <x:v>624.9999999999999</x:v>
      </x:c>
      <x:c r="Z20" s="76" t="n">
        <x:f>Y25</x:f>
        <x:v>666.6666666666665</x:v>
      </x:c>
      <x:c r="AA20" s="76" t="n">
        <x:f>Z25</x:f>
        <x:v>708.3333333333331</x:v>
      </x:c>
      <x:c r="AB20" s="76" t="n">
        <x:f>AA25</x:f>
        <x:v>749.9999999999998</x:v>
      </x:c>
      <x:c r="AC20" s="76" t="n">
        <x:f>AB25</x:f>
        <x:v>791.6666666666664</x:v>
      </x:c>
      <x:c r="AD20" s="76" t="n">
        <x:f>AC25</x:f>
        <x:v>833.333333333333</x:v>
      </x:c>
      <x:c r="AE20" s="76" t="n">
        <x:f>AD25</x:f>
        <x:v>874.9999999999997</x:v>
      </x:c>
      <x:c r="AF20" s="76" t="n">
        <x:f>AE25</x:f>
        <x:v>916.6666666666663</x:v>
      </x:c>
      <x:c r="AG20" s="76" t="n">
        <x:f>AF25</x:f>
        <x:v>958.3333333333329</x:v>
      </x:c>
      <x:c r="AH20" s="76" t="n">
        <x:f>AG25</x:f>
        <x:v>999.9999999999995</x:v>
      </x:c>
      <x:c r="AI20" s="76" t="n">
        <x:f>AH25</x:f>
        <x:v>1124.9999999999995</x:v>
      </x:c>
      <x:c r="AJ20" s="76" t="n">
        <x:f>AI25</x:f>
        <x:v>1249.9999999999995</x:v>
      </x:c>
      <x:c r="AK20" s="76" t="n">
        <x:f>AJ25</x:f>
        <x:v>1374.9999999999995</x:v>
      </x:c>
      <x:c r="AL20" s="76" t="n">
        <x:f>AK25</x:f>
        <x:v>1499.9999999999995</x:v>
      </x:c>
      <x:c r="AM20" s="76" t="n">
        <x:f>AL25</x:f>
        <x:v>1624.9999999999995</x:v>
      </x:c>
      <x:c r="AN20" s="76" t="n">
        <x:f>AM25</x:f>
        <x:v>1749.9999999999995</x:v>
      </x:c>
      <x:c r="AO20" s="76" t="n">
        <x:f>AN25</x:f>
        <x:v>1874.9999999999995</x:v>
      </x:c>
      <x:c r="AP20" s="76" t="n">
        <x:f>AO25</x:f>
        <x:v>1999.9999999999995</x:v>
      </x:c>
      <x:c r="AQ20" s="76" t="n">
        <x:f>AP25</x:f>
        <x:v>2124.9999999999995</x:v>
      </x:c>
      <x:c r="AR20" s="76" t="n">
        <x:f>AQ25</x:f>
        <x:v>2249.9999999999995</x:v>
      </x:c>
      <x:c r="AS20" s="76" t="n">
        <x:f>AR25</x:f>
        <x:v>2374.9999999999995</x:v>
      </x:c>
      <x:c r="AT20" s="76" t="n">
        <x:f>AS25</x:f>
        <x:v>2499.9999999999995</x:v>
      </x:c>
      <x:c r="AU20" s="76" t="n">
        <x:f>AT25</x:f>
        <x:v>2749.9999999999995</x:v>
      </x:c>
      <x:c r="AV20" s="76" t="n">
        <x:f>AU25</x:f>
        <x:v>2999.9999999999995</x:v>
      </x:c>
      <x:c r="AW20" s="76" t="n">
        <x:f>AV25</x:f>
        <x:v>3249.9999999999995</x:v>
      </x:c>
      <x:c r="AX20" s="76" t="n">
        <x:f>AW25</x:f>
        <x:v>3499.9999999999995</x:v>
      </x:c>
      <x:c r="AY20" s="76" t="n">
        <x:f>AX25</x:f>
        <x:v>3749.9999999999995</x:v>
      </x:c>
      <x:c r="AZ20" s="76" t="n">
        <x:f>AY25</x:f>
        <x:v>3999.9999999999995</x:v>
      </x:c>
      <x:c r="BA20" s="76" t="n">
        <x:f>AZ25</x:f>
        <x:v>4250</x:v>
      </x:c>
      <x:c r="BB20" s="76" t="n">
        <x:f>BA25</x:f>
        <x:v>4500</x:v>
      </x:c>
      <x:c r="BC20" s="76" t="n">
        <x:f>BB25</x:f>
        <x:v>4750</x:v>
      </x:c>
      <x:c r="BD20" s="76" t="n">
        <x:f>BC25</x:f>
        <x:v>5000</x:v>
      </x:c>
      <x:c r="BE20" s="76" t="n">
        <x:f>BD25</x:f>
        <x:v>5250</x:v>
      </x:c>
      <x:c r="BF20" s="76" t="n">
        <x:f>BE25</x:f>
        <x:v>5500</x:v>
      </x:c>
      <x:c r="BG20" s="76" t="n">
        <x:f>BF25</x:f>
        <x:v>5875</x:v>
      </x:c>
      <x:c r="BH20" s="76" t="n">
        <x:f>BG25</x:f>
        <x:v>6250</x:v>
      </x:c>
      <x:c r="BI20" s="76" t="n">
        <x:f>BH25</x:f>
        <x:v>6625</x:v>
      </x:c>
      <x:c r="BJ20" s="76" t="n">
        <x:f>BI25</x:f>
        <x:v>7000</x:v>
      </x:c>
      <x:c r="BK20" s="76" t="n">
        <x:f>BJ25</x:f>
        <x:v>7375</x:v>
      </x:c>
      <x:c r="BL20" s="76" t="n">
        <x:f>BK25</x:f>
        <x:v>7750</x:v>
      </x:c>
      <x:c r="BM20" s="76" t="n">
        <x:f>BL25</x:f>
        <x:v>8125</x:v>
      </x:c>
      <x:c r="BN20" s="76" t="n">
        <x:f>BM25</x:f>
        <x:v>8500</x:v>
      </x:c>
      <x:c r="BO20" s="76" t="n">
        <x:f>BN25</x:f>
        <x:v>8875</x:v>
      </x:c>
      <x:c r="BP20" s="76" t="n">
        <x:f>BO25</x:f>
        <x:v>9250</x:v>
      </x:c>
      <x:c r="BQ20" s="76" t="n">
        <x:f>BP25</x:f>
        <x:v>9625</x:v>
      </x:c>
    </x:row>
    <x:row r="21" ht="23" customHeight="1">
      <x:c r="A21" s="2"/>
      <x:c r="B21" s="2"/>
      <x:c r="C21" s="2" t="str">
        <x:v>Strategy net subscriber change</x:v>
      </x:c>
      <x:c r="D21" s="76" t="n">
        <x:f>IF(COUNT(J21:U21)=12,SUM(J21:U21),"n.a.")</x:f>
        <x:v>0</x:v>
      </x:c>
      <x:c r="E21" s="76" t="n">
        <x:f>IF(COUNT(V21:AG21)=12,SUM(V21:AG21),"n.a.")</x:f>
        <x:v>500.00000000000006</x:v>
      </x:c>
      <x:c r="F21" s="76" t="n">
        <x:f>IF(COUNT(AH21:AS21)=12,SUM(AH21:AS21),"n.a.")</x:f>
        <x:v>1500.0000000000002</x:v>
      </x:c>
      <x:c r="G21" s="76" t="n">
        <x:f>IF(COUNT(AT21:BE21)=12,SUM(AT21:BE21),"n.a.")</x:f>
        <x:v>3000.0000000000005</x:v>
      </x:c>
      <x:c r="H21" s="76" t="n">
        <x:f>IF(COUNT(BF21:BQ21)=12,SUM(BF21:BQ21),"n.a.")</x:f>
        <x:v>4500</x:v>
      </x:c>
      <x:c r="I21" s="76" t="n">
        <x:f>I24-I23</x:f>
        <x:v>500</x:v>
      </x:c>
      <x:c r="J21" s="76" t="n">
        <x:f>IF(COUNT(J24,J23)=2,J24-J23,"n.a.")</x:f>
        <x:v>0</x:v>
      </x:c>
      <x:c r="K21" s="76" t="n">
        <x:f>IF(COUNT(K24,K23)=2,K24-K23,"n.a.")</x:f>
        <x:v>0</x:v>
      </x:c>
      <x:c r="L21" s="76" t="n">
        <x:f>IF(COUNT(L24,L23)=2,L24-L23,"n.a.")</x:f>
        <x:v>0</x:v>
      </x:c>
      <x:c r="M21" s="76" t="n">
        <x:f>IF(COUNT(M24,M23)=2,M24-M23,"n.a.")</x:f>
        <x:v>0</x:v>
      </x:c>
      <x:c r="N21" s="76" t="n">
        <x:f>IF(COUNT(N24,N23)=2,N24-N23,"n.a.")</x:f>
        <x:v>0</x:v>
      </x:c>
      <x:c r="O21" s="76" t="n">
        <x:f>IF(COUNT(O24,O23)=2,O24-O23,"n.a.")</x:f>
        <x:v>0</x:v>
      </x:c>
      <x:c r="P21" s="76" t="n">
        <x:f>IF(COUNT(P24,P23)=2,P24-P23,"n.a.")</x:f>
        <x:v>0</x:v>
      </x:c>
      <x:c r="Q21" s="76" t="n">
        <x:f>IF(COUNT(Q24,Q23)=2,Q24-Q23,"n.a.")</x:f>
        <x:v>0</x:v>
      </x:c>
      <x:c r="R21" s="76" t="n">
        <x:f>IF(COUNT(R24,R23)=2,R24-R23,"n.a.")</x:f>
        <x:v>0</x:v>
      </x:c>
      <x:c r="S21" s="76" t="n">
        <x:f>IF(COUNT(S24,S23)=2,S24-S23,"n.a.")</x:f>
        <x:v>0</x:v>
      </x:c>
      <x:c r="T21" s="76" t="n">
        <x:f>IF(COUNT(T24,T23)=2,T24-T23,"n.a.")</x:f>
        <x:v>0</x:v>
      </x:c>
      <x:c r="U21" s="76" t="n">
        <x:f>IF(COUNT(U24,U23)=2,U24-U23,"n.a.")</x:f>
        <x:v>0</x:v>
      </x:c>
      <x:c r="V21" s="77" t="n">
        <x:f>IF(COUNT('Assumptions'!E8,$U$25)=2,('Assumptions'!E8-$U$25)/12,"n.a.")</x:f>
        <x:v>41.666666666666664</x:v>
      </x:c>
      <x:c r="W21" s="77" t="n">
        <x:f>IF(COUNT('Assumptions'!E8,$U$25)=2,('Assumptions'!E8-$U$25)/12,"n.a.")</x:f>
        <x:v>41.666666666666664</x:v>
      </x:c>
      <x:c r="X21" s="77" t="n">
        <x:f>IF(COUNT('Assumptions'!E8,$U$25)=2,('Assumptions'!E8-$U$25)/12,"n.a.")</x:f>
        <x:v>41.666666666666664</x:v>
      </x:c>
      <x:c r="Y21" s="77" t="n">
        <x:f>IF(COUNT('Assumptions'!E8,$U$25)=2,('Assumptions'!E8-$U$25)/12,"n.a.")</x:f>
        <x:v>41.666666666666664</x:v>
      </x:c>
      <x:c r="Z21" s="77" t="n">
        <x:f>IF(COUNT('Assumptions'!E8,$U$25)=2,('Assumptions'!E8-$U$25)/12,"n.a.")</x:f>
        <x:v>41.666666666666664</x:v>
      </x:c>
      <x:c r="AA21" s="77" t="n">
        <x:f>IF(COUNT('Assumptions'!E8,$U$25)=2,('Assumptions'!E8-$U$25)/12,"n.a.")</x:f>
        <x:v>41.666666666666664</x:v>
      </x:c>
      <x:c r="AB21" s="77" t="n">
        <x:f>IF(COUNT('Assumptions'!E8,$U$25)=2,('Assumptions'!E8-$U$25)/12,"n.a.")</x:f>
        <x:v>41.666666666666664</x:v>
      </x:c>
      <x:c r="AC21" s="77" t="n">
        <x:f>IF(COUNT('Assumptions'!E8,$U$25)=2,('Assumptions'!E8-$U$25)/12,"n.a.")</x:f>
        <x:v>41.666666666666664</x:v>
      </x:c>
      <x:c r="AD21" s="77" t="n">
        <x:f>IF(COUNT('Assumptions'!E8,$U$25)=2,('Assumptions'!E8-$U$25)/12,"n.a.")</x:f>
        <x:v>41.666666666666664</x:v>
      </x:c>
      <x:c r="AE21" s="77" t="n">
        <x:f>IF(COUNT('Assumptions'!E8,$U$25)=2,('Assumptions'!E8-$U$25)/12,"n.a.")</x:f>
        <x:v>41.666666666666664</x:v>
      </x:c>
      <x:c r="AF21" s="77" t="n">
        <x:f>IF(COUNT('Assumptions'!E8,$U$25)=2,('Assumptions'!E8-$U$25)/12,"n.a.")</x:f>
        <x:v>41.666666666666664</x:v>
      </x:c>
      <x:c r="AG21" s="77" t="n">
        <x:f>IF(COUNT('Assumptions'!E8,$U$25)=2,('Assumptions'!E8-$U$25)/12,"n.a.")</x:f>
        <x:v>41.666666666666664</x:v>
      </x:c>
      <x:c r="AH21" s="77" t="n">
        <x:f>IF(COUNT('Assumptions'!F8,$AG$25)=2,('Assumptions'!F8-$AG$25)/12,"n.a.")</x:f>
        <x:v>125.00000000000004</x:v>
      </x:c>
      <x:c r="AI21" s="77" t="n">
        <x:f>IF(COUNT('Assumptions'!F8,$AG$25)=2,('Assumptions'!F8-$AG$25)/12,"n.a.")</x:f>
        <x:v>125.00000000000004</x:v>
      </x:c>
      <x:c r="AJ21" s="77" t="n">
        <x:f>IF(COUNT('Assumptions'!F8,$AG$25)=2,('Assumptions'!F8-$AG$25)/12,"n.a.")</x:f>
        <x:v>125.00000000000004</x:v>
      </x:c>
      <x:c r="AK21" s="77" t="n">
        <x:f>IF(COUNT('Assumptions'!F8,$AG$25)=2,('Assumptions'!F8-$AG$25)/12,"n.a.")</x:f>
        <x:v>125.00000000000004</x:v>
      </x:c>
      <x:c r="AL21" s="77" t="n">
        <x:f>IF(COUNT('Assumptions'!F8,$AG$25)=2,('Assumptions'!F8-$AG$25)/12,"n.a.")</x:f>
        <x:v>125.00000000000004</x:v>
      </x:c>
      <x:c r="AM21" s="77" t="n">
        <x:f>IF(COUNT('Assumptions'!F8,$AG$25)=2,('Assumptions'!F8-$AG$25)/12,"n.a.")</x:f>
        <x:v>125.00000000000004</x:v>
      </x:c>
      <x:c r="AN21" s="77" t="n">
        <x:f>IF(COUNT('Assumptions'!F8,$AG$25)=2,('Assumptions'!F8-$AG$25)/12,"n.a.")</x:f>
        <x:v>125.00000000000004</x:v>
      </x:c>
      <x:c r="AO21" s="77" t="n">
        <x:f>IF(COUNT('Assumptions'!F8,$AG$25)=2,('Assumptions'!F8-$AG$25)/12,"n.a.")</x:f>
        <x:v>125.00000000000004</x:v>
      </x:c>
      <x:c r="AP21" s="77" t="n">
        <x:f>IF(COUNT('Assumptions'!F8,$AG$25)=2,('Assumptions'!F8-$AG$25)/12,"n.a.")</x:f>
        <x:v>125.00000000000004</x:v>
      </x:c>
      <x:c r="AQ21" s="77" t="n">
        <x:f>IF(COUNT('Assumptions'!F8,$AG$25)=2,('Assumptions'!F8-$AG$25)/12,"n.a.")</x:f>
        <x:v>125.00000000000004</x:v>
      </x:c>
      <x:c r="AR21" s="77" t="n">
        <x:f>IF(COUNT('Assumptions'!F8,$AG$25)=2,('Assumptions'!F8-$AG$25)/12,"n.a.")</x:f>
        <x:v>125.00000000000004</x:v>
      </x:c>
      <x:c r="AS21" s="77" t="n">
        <x:f>IF(COUNT('Assumptions'!F8,$AG$25)=2,('Assumptions'!F8-$AG$25)/12,"n.a.")</x:f>
        <x:v>125.00000000000004</x:v>
      </x:c>
      <x:c r="AT21" s="77" t="n">
        <x:f>IF(COUNT('Assumptions'!G8,$AS$25)=2,('Assumptions'!G8-$AS$25)/12,"n.a.")</x:f>
        <x:v>250.00000000000003</x:v>
      </x:c>
      <x:c r="AU21" s="77" t="n">
        <x:f>IF(COUNT('Assumptions'!G8,$AS$25)=2,('Assumptions'!G8-$AS$25)/12,"n.a.")</x:f>
        <x:v>250.00000000000003</x:v>
      </x:c>
      <x:c r="AV21" s="77" t="n">
        <x:f>IF(COUNT('Assumptions'!G8,$AS$25)=2,('Assumptions'!G8-$AS$25)/12,"n.a.")</x:f>
        <x:v>250.00000000000003</x:v>
      </x:c>
      <x:c r="AW21" s="77" t="n">
        <x:f>IF(COUNT('Assumptions'!G8,$AS$25)=2,('Assumptions'!G8-$AS$25)/12,"n.a.")</x:f>
        <x:v>250.00000000000003</x:v>
      </x:c>
      <x:c r="AX21" s="77" t="n">
        <x:f>IF(COUNT('Assumptions'!G8,$AS$25)=2,('Assumptions'!G8-$AS$25)/12,"n.a.")</x:f>
        <x:v>250.00000000000003</x:v>
      </x:c>
      <x:c r="AY21" s="77" t="n">
        <x:f>IF(COUNT('Assumptions'!G8,$AS$25)=2,('Assumptions'!G8-$AS$25)/12,"n.a.")</x:f>
        <x:v>250.00000000000003</x:v>
      </x:c>
      <x:c r="AZ21" s="77" t="n">
        <x:f>IF(COUNT('Assumptions'!G8,$AS$25)=2,('Assumptions'!G8-$AS$25)/12,"n.a.")</x:f>
        <x:v>250.00000000000003</x:v>
      </x:c>
      <x:c r="BA21" s="77" t="n">
        <x:f>IF(COUNT('Assumptions'!G8,$AS$25)=2,('Assumptions'!G8-$AS$25)/12,"n.a.")</x:f>
        <x:v>250.00000000000003</x:v>
      </x:c>
      <x:c r="BB21" s="77" t="n">
        <x:f>IF(COUNT('Assumptions'!G8,$AS$25)=2,('Assumptions'!G8-$AS$25)/12,"n.a.")</x:f>
        <x:v>250.00000000000003</x:v>
      </x:c>
      <x:c r="BC21" s="77" t="n">
        <x:f>IF(COUNT('Assumptions'!G8,$AS$25)=2,('Assumptions'!G8-$AS$25)/12,"n.a.")</x:f>
        <x:v>250.00000000000003</x:v>
      </x:c>
      <x:c r="BD21" s="77" t="n">
        <x:f>IF(COUNT('Assumptions'!G8,$AS$25)=2,('Assumptions'!G8-$AS$25)/12,"n.a.")</x:f>
        <x:v>250.00000000000003</x:v>
      </x:c>
      <x:c r="BE21" s="77" t="n">
        <x:f>IF(COUNT('Assumptions'!G8,$AS$25)=2,('Assumptions'!G8-$AS$25)/12,"n.a.")</x:f>
        <x:v>250.00000000000003</x:v>
      </x:c>
      <x:c r="BF21" s="77" t="n">
        <x:f>IF(COUNT('Assumptions'!H8,$BE$25)=2,('Assumptions'!H8-$BE$25)/12,"n.a.")</x:f>
        <x:v>375</x:v>
      </x:c>
      <x:c r="BG21" s="77" t="n">
        <x:f>IF(COUNT('Assumptions'!H8,$BE$25)=2,('Assumptions'!H8-$BE$25)/12,"n.a.")</x:f>
        <x:v>375</x:v>
      </x:c>
      <x:c r="BH21" s="77" t="n">
        <x:f>IF(COUNT('Assumptions'!H8,$BE$25)=2,('Assumptions'!H8-$BE$25)/12,"n.a.")</x:f>
        <x:v>375</x:v>
      </x:c>
      <x:c r="BI21" s="77" t="n">
        <x:f>IF(COUNT('Assumptions'!H8,$BE$25)=2,('Assumptions'!H8-$BE$25)/12,"n.a.")</x:f>
        <x:v>375</x:v>
      </x:c>
      <x:c r="BJ21" s="77" t="n">
        <x:f>IF(COUNT('Assumptions'!H8,$BE$25)=2,('Assumptions'!H8-$BE$25)/12,"n.a.")</x:f>
        <x:v>375</x:v>
      </x:c>
      <x:c r="BK21" s="77" t="n">
        <x:f>IF(COUNT('Assumptions'!H8,$BE$25)=2,('Assumptions'!H8-$BE$25)/12,"n.a.")</x:f>
        <x:v>375</x:v>
      </x:c>
      <x:c r="BL21" s="77" t="n">
        <x:f>IF(COUNT('Assumptions'!H8,$BE$25)=2,('Assumptions'!H8-$BE$25)/12,"n.a.")</x:f>
        <x:v>375</x:v>
      </x:c>
      <x:c r="BM21" s="77" t="n">
        <x:f>IF(COUNT('Assumptions'!H8,$BE$25)=2,('Assumptions'!H8-$BE$25)/12,"n.a.")</x:f>
        <x:v>375</x:v>
      </x:c>
      <x:c r="BN21" s="77" t="n">
        <x:f>IF(COUNT('Assumptions'!H8,$BE$25)=2,('Assumptions'!H8-$BE$25)/12,"n.a.")</x:f>
        <x:v>375</x:v>
      </x:c>
      <x:c r="BO21" s="77" t="n">
        <x:f>IF(COUNT('Assumptions'!H8,$BE$25)=2,('Assumptions'!H8-$BE$25)/12,"n.a.")</x:f>
        <x:v>375</x:v>
      </x:c>
      <x:c r="BP21" s="77" t="n">
        <x:f>IF(COUNT('Assumptions'!H8,$BE$25)=2,('Assumptions'!H8-$BE$25)/12,"n.a.")</x:f>
        <x:v>375</x:v>
      </x:c>
      <x:c r="BQ21" s="77" t="n">
        <x:f>IF(COUNT('Assumptions'!H8,$BE$25)=2,('Assumptions'!H8-$BE$25)/12,"n.a.")</x:f>
        <x:v>375</x:v>
      </x:c>
    </x:row>
    <x:row r="22" ht="23" customHeight="1">
      <x:c r="A22" s="2"/>
      <x:c r="B22" s="2"/>
      <x:c r="C22" s="59" t="str">
        <x:v>Strategy monthly churn</x:v>
      </x:c>
      <x:c r="D22" s="73" t="n">
        <x:f>IF(COUNT(J22:U22)=12,AVERAGE(J22:U22),"n.a.")</x:f>
        <x:v>0</x:v>
      </x:c>
      <x:c r="E22" s="73" t="str">
        <x:f>IF(COUNT(V22:AG22)=12,AVERAGE(V22:AG22),"n.a.")</x:f>
        <x:v>n.a.</x:v>
      </x:c>
      <x:c r="F22" s="73" t="str">
        <x:f>IF(COUNT(AH22:AS22)=12,AVERAGE(AH22:AS22),"n.a.")</x:f>
        <x:v>n.a.</x:v>
      </x:c>
      <x:c r="G22" s="73" t="str">
        <x:f>IF(COUNT(AT22:BE22)=12,AVERAGE(AT22:BE22),"n.a.")</x:f>
        <x:v>n.a.</x:v>
      </x:c>
      <x:c r="H22" s="73" t="str">
        <x:f>IF(COUNT(BF22:BQ22)=12,AVERAGE(BF22:BQ22),"n.a.")</x:f>
        <x:v>n.a.</x:v>
      </x:c>
      <x:c r="I22" s="74" t="n">
        <x:v>0</x:v>
      </x:c>
      <x:c r="J22" s="75" t="n">
        <x:f>IF(ISNUMBER('Assumptions'!D26),'Assumptions'!D26,"n.a.")</x:f>
        <x:v>0</x:v>
      </x:c>
      <x:c r="K22" s="75" t="n">
        <x:f>IF(ISNUMBER('Assumptions'!D26),'Assumptions'!D26,"n.a.")</x:f>
        <x:v>0</x:v>
      </x:c>
      <x:c r="L22" s="75" t="n">
        <x:f>IF(ISNUMBER('Assumptions'!D26),'Assumptions'!D26,"n.a.")</x:f>
        <x:v>0</x:v>
      </x:c>
      <x:c r="M22" s="75" t="n">
        <x:f>IF(ISNUMBER('Assumptions'!D26),'Assumptions'!D26,"n.a.")</x:f>
        <x:v>0</x:v>
      </x:c>
      <x:c r="N22" s="75" t="n">
        <x:f>IF(ISNUMBER('Assumptions'!D26),'Assumptions'!D26,"n.a.")</x:f>
        <x:v>0</x:v>
      </x:c>
      <x:c r="O22" s="75" t="n">
        <x:f>IF(ISNUMBER('Assumptions'!D26),'Assumptions'!D26,"n.a.")</x:f>
        <x:v>0</x:v>
      </x:c>
      <x:c r="P22" s="75" t="n">
        <x:f>IF(ISNUMBER('Assumptions'!D26),'Assumptions'!D26,"n.a.")</x:f>
        <x:v>0</x:v>
      </x:c>
      <x:c r="Q22" s="75" t="n">
        <x:f>IF(ISNUMBER('Assumptions'!D26),'Assumptions'!D26,"n.a.")</x:f>
        <x:v>0</x:v>
      </x:c>
      <x:c r="R22" s="75" t="n">
        <x:f>IF(ISNUMBER('Assumptions'!D26),'Assumptions'!D26,"n.a.")</x:f>
        <x:v>0</x:v>
      </x:c>
      <x:c r="S22" s="75" t="n">
        <x:f>IF(ISNUMBER('Assumptions'!D26),'Assumptions'!D26,"n.a.")</x:f>
        <x:v>0</x:v>
      </x:c>
      <x:c r="T22" s="75" t="n">
        <x:f>IF(ISNUMBER('Assumptions'!D26),'Assumptions'!D26,"n.a.")</x:f>
        <x:v>0</x:v>
      </x:c>
      <x:c r="U22" s="75" t="n">
        <x:f>IF(ISNUMBER('Assumptions'!D26),'Assumptions'!D26,"n.a.")</x:f>
        <x:v>0</x:v>
      </x:c>
      <x:c r="V22" s="75" t="str">
        <x:f>IF(ISNUMBER('Assumptions'!E26),'Assumptions'!E26,"n.a.")</x:f>
        <x:v>n.a.</x:v>
      </x:c>
      <x:c r="W22" s="75" t="str">
        <x:f>IF(ISNUMBER('Assumptions'!E26),'Assumptions'!E26,"n.a.")</x:f>
        <x:v>n.a.</x:v>
      </x:c>
      <x:c r="X22" s="75" t="str">
        <x:f>IF(ISNUMBER('Assumptions'!E26),'Assumptions'!E26,"n.a.")</x:f>
        <x:v>n.a.</x:v>
      </x:c>
      <x:c r="Y22" s="75" t="str">
        <x:f>IF(ISNUMBER('Assumptions'!E26),'Assumptions'!E26,"n.a.")</x:f>
        <x:v>n.a.</x:v>
      </x:c>
      <x:c r="Z22" s="75" t="str">
        <x:f>IF(ISNUMBER('Assumptions'!E26),'Assumptions'!E26,"n.a.")</x:f>
        <x:v>n.a.</x:v>
      </x:c>
      <x:c r="AA22" s="75" t="str">
        <x:f>IF(ISNUMBER('Assumptions'!E26),'Assumptions'!E26,"n.a.")</x:f>
        <x:v>n.a.</x:v>
      </x:c>
      <x:c r="AB22" s="75" t="str">
        <x:f>IF(ISNUMBER('Assumptions'!E26),'Assumptions'!E26,"n.a.")</x:f>
        <x:v>n.a.</x:v>
      </x:c>
      <x:c r="AC22" s="75" t="str">
        <x:f>IF(ISNUMBER('Assumptions'!E26),'Assumptions'!E26,"n.a.")</x:f>
        <x:v>n.a.</x:v>
      </x:c>
      <x:c r="AD22" s="75" t="str">
        <x:f>IF(ISNUMBER('Assumptions'!E26),'Assumptions'!E26,"n.a.")</x:f>
        <x:v>n.a.</x:v>
      </x:c>
      <x:c r="AE22" s="75" t="str">
        <x:f>IF(ISNUMBER('Assumptions'!E26),'Assumptions'!E26,"n.a.")</x:f>
        <x:v>n.a.</x:v>
      </x:c>
      <x:c r="AF22" s="75" t="str">
        <x:f>IF(ISNUMBER('Assumptions'!E26),'Assumptions'!E26,"n.a.")</x:f>
        <x:v>n.a.</x:v>
      </x:c>
      <x:c r="AG22" s="75" t="str">
        <x:f>IF(ISNUMBER('Assumptions'!E26),'Assumptions'!E26,"n.a.")</x:f>
        <x:v>n.a.</x:v>
      </x:c>
      <x:c r="AH22" s="75" t="str">
        <x:f>IF(ISNUMBER('Assumptions'!F26),'Assumptions'!F26,"n.a.")</x:f>
        <x:v>n.a.</x:v>
      </x:c>
      <x:c r="AI22" s="75" t="str">
        <x:f>IF(ISNUMBER('Assumptions'!F26),'Assumptions'!F26,"n.a.")</x:f>
        <x:v>n.a.</x:v>
      </x:c>
      <x:c r="AJ22" s="75" t="str">
        <x:f>IF(ISNUMBER('Assumptions'!F26),'Assumptions'!F26,"n.a.")</x:f>
        <x:v>n.a.</x:v>
      </x:c>
      <x:c r="AK22" s="75" t="str">
        <x:f>IF(ISNUMBER('Assumptions'!F26),'Assumptions'!F26,"n.a.")</x:f>
        <x:v>n.a.</x:v>
      </x:c>
      <x:c r="AL22" s="75" t="str">
        <x:f>IF(ISNUMBER('Assumptions'!F26),'Assumptions'!F26,"n.a.")</x:f>
        <x:v>n.a.</x:v>
      </x:c>
      <x:c r="AM22" s="75" t="str">
        <x:f>IF(ISNUMBER('Assumptions'!F26),'Assumptions'!F26,"n.a.")</x:f>
        <x:v>n.a.</x:v>
      </x:c>
      <x:c r="AN22" s="75" t="str">
        <x:f>IF(ISNUMBER('Assumptions'!F26),'Assumptions'!F26,"n.a.")</x:f>
        <x:v>n.a.</x:v>
      </x:c>
      <x:c r="AO22" s="75" t="str">
        <x:f>IF(ISNUMBER('Assumptions'!F26),'Assumptions'!F26,"n.a.")</x:f>
        <x:v>n.a.</x:v>
      </x:c>
      <x:c r="AP22" s="75" t="str">
        <x:f>IF(ISNUMBER('Assumptions'!F26),'Assumptions'!F26,"n.a.")</x:f>
        <x:v>n.a.</x:v>
      </x:c>
      <x:c r="AQ22" s="75" t="str">
        <x:f>IF(ISNUMBER('Assumptions'!F26),'Assumptions'!F26,"n.a.")</x:f>
        <x:v>n.a.</x:v>
      </x:c>
      <x:c r="AR22" s="75" t="str">
        <x:f>IF(ISNUMBER('Assumptions'!F26),'Assumptions'!F26,"n.a.")</x:f>
        <x:v>n.a.</x:v>
      </x:c>
      <x:c r="AS22" s="75" t="str">
        <x:f>IF(ISNUMBER('Assumptions'!F26),'Assumptions'!F26,"n.a.")</x:f>
        <x:v>n.a.</x:v>
      </x:c>
      <x:c r="AT22" s="75" t="str">
        <x:f>IF(ISNUMBER('Assumptions'!G26),'Assumptions'!G26,"n.a.")</x:f>
        <x:v>n.a.</x:v>
      </x:c>
      <x:c r="AU22" s="75" t="str">
        <x:f>IF(ISNUMBER('Assumptions'!G26),'Assumptions'!G26,"n.a.")</x:f>
        <x:v>n.a.</x:v>
      </x:c>
      <x:c r="AV22" s="75" t="str">
        <x:f>IF(ISNUMBER('Assumptions'!G26),'Assumptions'!G26,"n.a.")</x:f>
        <x:v>n.a.</x:v>
      </x:c>
      <x:c r="AW22" s="75" t="str">
        <x:f>IF(ISNUMBER('Assumptions'!G26),'Assumptions'!G26,"n.a.")</x:f>
        <x:v>n.a.</x:v>
      </x:c>
      <x:c r="AX22" s="75" t="str">
        <x:f>IF(ISNUMBER('Assumptions'!G26),'Assumptions'!G26,"n.a.")</x:f>
        <x:v>n.a.</x:v>
      </x:c>
      <x:c r="AY22" s="75" t="str">
        <x:f>IF(ISNUMBER('Assumptions'!G26),'Assumptions'!G26,"n.a.")</x:f>
        <x:v>n.a.</x:v>
      </x:c>
      <x:c r="AZ22" s="75" t="str">
        <x:f>IF(ISNUMBER('Assumptions'!G26),'Assumptions'!G26,"n.a.")</x:f>
        <x:v>n.a.</x:v>
      </x:c>
      <x:c r="BA22" s="75" t="str">
        <x:f>IF(ISNUMBER('Assumptions'!G26),'Assumptions'!G26,"n.a.")</x:f>
        <x:v>n.a.</x:v>
      </x:c>
      <x:c r="BB22" s="75" t="str">
        <x:f>IF(ISNUMBER('Assumptions'!G26),'Assumptions'!G26,"n.a.")</x:f>
        <x:v>n.a.</x:v>
      </x:c>
      <x:c r="BC22" s="75" t="str">
        <x:f>IF(ISNUMBER('Assumptions'!G26),'Assumptions'!G26,"n.a.")</x:f>
        <x:v>n.a.</x:v>
      </x:c>
      <x:c r="BD22" s="75" t="str">
        <x:f>IF(ISNUMBER('Assumptions'!G26),'Assumptions'!G26,"n.a.")</x:f>
        <x:v>n.a.</x:v>
      </x:c>
      <x:c r="BE22" s="75" t="str">
        <x:f>IF(ISNUMBER('Assumptions'!G26),'Assumptions'!G26,"n.a.")</x:f>
        <x:v>n.a.</x:v>
      </x:c>
      <x:c r="BF22" s="75" t="str">
        <x:f>IF(ISNUMBER('Assumptions'!H26),'Assumptions'!H26,"n.a.")</x:f>
        <x:v>n.a.</x:v>
      </x:c>
      <x:c r="BG22" s="75" t="str">
        <x:f>IF(ISNUMBER('Assumptions'!H26),'Assumptions'!H26,"n.a.")</x:f>
        <x:v>n.a.</x:v>
      </x:c>
      <x:c r="BH22" s="75" t="str">
        <x:f>IF(ISNUMBER('Assumptions'!H26),'Assumptions'!H26,"n.a.")</x:f>
        <x:v>n.a.</x:v>
      </x:c>
      <x:c r="BI22" s="75" t="str">
        <x:f>IF(ISNUMBER('Assumptions'!H26),'Assumptions'!H26,"n.a.")</x:f>
        <x:v>n.a.</x:v>
      </x:c>
      <x:c r="BJ22" s="75" t="str">
        <x:f>IF(ISNUMBER('Assumptions'!H26),'Assumptions'!H26,"n.a.")</x:f>
        <x:v>n.a.</x:v>
      </x:c>
      <x:c r="BK22" s="75" t="str">
        <x:f>IF(ISNUMBER('Assumptions'!H26),'Assumptions'!H26,"n.a.")</x:f>
        <x:v>n.a.</x:v>
      </x:c>
      <x:c r="BL22" s="75" t="str">
        <x:f>IF(ISNUMBER('Assumptions'!H26),'Assumptions'!H26,"n.a.")</x:f>
        <x:v>n.a.</x:v>
      </x:c>
      <x:c r="BM22" s="75" t="str">
        <x:f>IF(ISNUMBER('Assumptions'!H26),'Assumptions'!H26,"n.a.")</x:f>
        <x:v>n.a.</x:v>
      </x:c>
      <x:c r="BN22" s="75" t="str">
        <x:f>IF(ISNUMBER('Assumptions'!H26),'Assumptions'!H26,"n.a.")</x:f>
        <x:v>n.a.</x:v>
      </x:c>
      <x:c r="BO22" s="75" t="str">
        <x:f>IF(ISNUMBER('Assumptions'!H26),'Assumptions'!H26,"n.a.")</x:f>
        <x:v>n.a.</x:v>
      </x:c>
      <x:c r="BP22" s="75" t="str">
        <x:f>IF(ISNUMBER('Assumptions'!H26),'Assumptions'!H26,"n.a.")</x:f>
        <x:v>n.a.</x:v>
      </x:c>
      <x:c r="BQ22" s="75" t="str">
        <x:f>IF(ISNUMBER('Assumptions'!H26),'Assumptions'!H26,"n.a.")</x:f>
        <x:v>n.a.</x:v>
      </x:c>
    </x:row>
    <x:row r="23" ht="23" customHeight="1">
      <x:c r="A23" s="2"/>
      <x:c r="B23" s="2"/>
      <x:c r="C23" s="2" t="str">
        <x:v>Strategy subscribers lost</x:v>
      </x:c>
      <x:c r="D23" s="76" t="n">
        <x:f>IF(COUNT(J23:U23)=12,SUM(J23:U23),"n.a.")</x:f>
        <x:v>0</x:v>
      </x:c>
      <x:c r="E23" s="76" t="str">
        <x:f>IF(COUNT(V23:AG23)=12,SUM(V23:AG23),"n.a.")</x:f>
        <x:v>n.a.</x:v>
      </x:c>
      <x:c r="F23" s="76" t="str">
        <x:f>IF(COUNT(AH23:AS23)=12,SUM(AH23:AS23),"n.a.")</x:f>
        <x:v>n.a.</x:v>
      </x:c>
      <x:c r="G23" s="76" t="str">
        <x:f>IF(COUNT(AT23:BE23)=12,SUM(AT23:BE23),"n.a.")</x:f>
        <x:v>n.a.</x:v>
      </x:c>
      <x:c r="H23" s="76" t="str">
        <x:f>IF(COUNT(BF23:BQ23)=12,SUM(BF23:BQ23),"n.a.")</x:f>
        <x:v>n.a.</x:v>
      </x:c>
      <x:c r="I23" s="78" t="n">
        <x:v>0</x:v>
      </x:c>
      <x:c r="J23" s="76" t="n">
        <x:f>IF(COUNT(J20,J22)=2,J20*J22,"n.a.")</x:f>
        <x:v>0</x:v>
      </x:c>
      <x:c r="K23" s="76" t="n">
        <x:f>IF(COUNT(K20,K22)=2,K20*K22,"n.a.")</x:f>
        <x:v>0</x:v>
      </x:c>
      <x:c r="L23" s="76" t="n">
        <x:f>IF(COUNT(L20,L22)=2,L20*L22,"n.a.")</x:f>
        <x:v>0</x:v>
      </x:c>
      <x:c r="M23" s="76" t="n">
        <x:f>IF(COUNT(M20,M22)=2,M20*M22,"n.a.")</x:f>
        <x:v>0</x:v>
      </x:c>
      <x:c r="N23" s="76" t="n">
        <x:f>IF(COUNT(N20,N22)=2,N20*N22,"n.a.")</x:f>
        <x:v>0</x:v>
      </x:c>
      <x:c r="O23" s="76" t="n">
        <x:f>IF(COUNT(O20,O22)=2,O20*O22,"n.a.")</x:f>
        <x:v>0</x:v>
      </x:c>
      <x:c r="P23" s="76" t="n">
        <x:f>IF(COUNT(P20,P22)=2,P20*P22,"n.a.")</x:f>
        <x:v>0</x:v>
      </x:c>
      <x:c r="Q23" s="76" t="n">
        <x:f>IF(COUNT(Q20,Q22)=2,Q20*Q22,"n.a.")</x:f>
        <x:v>0</x:v>
      </x:c>
      <x:c r="R23" s="76" t="n">
        <x:f>IF(COUNT(R20,R22)=2,R20*R22,"n.a.")</x:f>
        <x:v>0</x:v>
      </x:c>
      <x:c r="S23" s="76" t="n">
        <x:f>IF(COUNT(S20,S22)=2,S20*S22,"n.a.")</x:f>
        <x:v>0</x:v>
      </x:c>
      <x:c r="T23" s="76" t="n">
        <x:f>IF(COUNT(T20,T22)=2,T20*T22,"n.a.")</x:f>
        <x:v>0</x:v>
      </x:c>
      <x:c r="U23" s="76" t="n">
        <x:f>IF(COUNT(U20,U22)=2,U20*U22,"n.a.")</x:f>
        <x:v>0</x:v>
      </x:c>
      <x:c r="V23" s="76" t="str">
        <x:f>IF(COUNT(V20,V22)=2,V20*V22,"n.a.")</x:f>
        <x:v>n.a.</x:v>
      </x:c>
      <x:c r="W23" s="76" t="str">
        <x:f>IF(COUNT(W20,W22)=2,W20*W22,"n.a.")</x:f>
        <x:v>n.a.</x:v>
      </x:c>
      <x:c r="X23" s="76" t="str">
        <x:f>IF(COUNT(X20,X22)=2,X20*X22,"n.a.")</x:f>
        <x:v>n.a.</x:v>
      </x:c>
      <x:c r="Y23" s="76" t="str">
        <x:f>IF(COUNT(Y20,Y22)=2,Y20*Y22,"n.a.")</x:f>
        <x:v>n.a.</x:v>
      </x:c>
      <x:c r="Z23" s="76" t="str">
        <x:f>IF(COUNT(Z20,Z22)=2,Z20*Z22,"n.a.")</x:f>
        <x:v>n.a.</x:v>
      </x:c>
      <x:c r="AA23" s="76" t="str">
        <x:f>IF(COUNT(AA20,AA22)=2,AA20*AA22,"n.a.")</x:f>
        <x:v>n.a.</x:v>
      </x:c>
      <x:c r="AB23" s="76" t="str">
        <x:f>IF(COUNT(AB20,AB22)=2,AB20*AB22,"n.a.")</x:f>
        <x:v>n.a.</x:v>
      </x:c>
      <x:c r="AC23" s="76" t="str">
        <x:f>IF(COUNT(AC20,AC22)=2,AC20*AC22,"n.a.")</x:f>
        <x:v>n.a.</x:v>
      </x:c>
      <x:c r="AD23" s="76" t="str">
        <x:f>IF(COUNT(AD20,AD22)=2,AD20*AD22,"n.a.")</x:f>
        <x:v>n.a.</x:v>
      </x:c>
      <x:c r="AE23" s="76" t="str">
        <x:f>IF(COUNT(AE20,AE22)=2,AE20*AE22,"n.a.")</x:f>
        <x:v>n.a.</x:v>
      </x:c>
      <x:c r="AF23" s="76" t="str">
        <x:f>IF(COUNT(AF20,AF22)=2,AF20*AF22,"n.a.")</x:f>
        <x:v>n.a.</x:v>
      </x:c>
      <x:c r="AG23" s="76" t="str">
        <x:f>IF(COUNT(AG20,AG22)=2,AG20*AG22,"n.a.")</x:f>
        <x:v>n.a.</x:v>
      </x:c>
      <x:c r="AH23" s="76" t="str">
        <x:f>IF(COUNT(AH20,AH22)=2,AH20*AH22,"n.a.")</x:f>
        <x:v>n.a.</x:v>
      </x:c>
      <x:c r="AI23" s="76" t="str">
        <x:f>IF(COUNT(AI20,AI22)=2,AI20*AI22,"n.a.")</x:f>
        <x:v>n.a.</x:v>
      </x:c>
      <x:c r="AJ23" s="76" t="str">
        <x:f>IF(COUNT(AJ20,AJ22)=2,AJ20*AJ22,"n.a.")</x:f>
        <x:v>n.a.</x:v>
      </x:c>
      <x:c r="AK23" s="76" t="str">
        <x:f>IF(COUNT(AK20,AK22)=2,AK20*AK22,"n.a.")</x:f>
        <x:v>n.a.</x:v>
      </x:c>
      <x:c r="AL23" s="76" t="str">
        <x:f>IF(COUNT(AL20,AL22)=2,AL20*AL22,"n.a.")</x:f>
        <x:v>n.a.</x:v>
      </x:c>
      <x:c r="AM23" s="76" t="str">
        <x:f>IF(COUNT(AM20,AM22)=2,AM20*AM22,"n.a.")</x:f>
        <x:v>n.a.</x:v>
      </x:c>
      <x:c r="AN23" s="76" t="str">
        <x:f>IF(COUNT(AN20,AN22)=2,AN20*AN22,"n.a.")</x:f>
        <x:v>n.a.</x:v>
      </x:c>
      <x:c r="AO23" s="76" t="str">
        <x:f>IF(COUNT(AO20,AO22)=2,AO20*AO22,"n.a.")</x:f>
        <x:v>n.a.</x:v>
      </x:c>
      <x:c r="AP23" s="76" t="str">
        <x:f>IF(COUNT(AP20,AP22)=2,AP20*AP22,"n.a.")</x:f>
        <x:v>n.a.</x:v>
      </x:c>
      <x:c r="AQ23" s="76" t="str">
        <x:f>IF(COUNT(AQ20,AQ22)=2,AQ20*AQ22,"n.a.")</x:f>
        <x:v>n.a.</x:v>
      </x:c>
      <x:c r="AR23" s="76" t="str">
        <x:f>IF(COUNT(AR20,AR22)=2,AR20*AR22,"n.a.")</x:f>
        <x:v>n.a.</x:v>
      </x:c>
      <x:c r="AS23" s="76" t="str">
        <x:f>IF(COUNT(AS20,AS22)=2,AS20*AS22,"n.a.")</x:f>
        <x:v>n.a.</x:v>
      </x:c>
      <x:c r="AT23" s="76" t="str">
        <x:f>IF(COUNT(AT20,AT22)=2,AT20*AT22,"n.a.")</x:f>
        <x:v>n.a.</x:v>
      </x:c>
      <x:c r="AU23" s="76" t="str">
        <x:f>IF(COUNT(AU20,AU22)=2,AU20*AU22,"n.a.")</x:f>
        <x:v>n.a.</x:v>
      </x:c>
      <x:c r="AV23" s="76" t="str">
        <x:f>IF(COUNT(AV20,AV22)=2,AV20*AV22,"n.a.")</x:f>
        <x:v>n.a.</x:v>
      </x:c>
      <x:c r="AW23" s="76" t="str">
        <x:f>IF(COUNT(AW20,AW22)=2,AW20*AW22,"n.a.")</x:f>
        <x:v>n.a.</x:v>
      </x:c>
      <x:c r="AX23" s="76" t="str">
        <x:f>IF(COUNT(AX20,AX22)=2,AX20*AX22,"n.a.")</x:f>
        <x:v>n.a.</x:v>
      </x:c>
      <x:c r="AY23" s="76" t="str">
        <x:f>IF(COUNT(AY20,AY22)=2,AY20*AY22,"n.a.")</x:f>
        <x:v>n.a.</x:v>
      </x:c>
      <x:c r="AZ23" s="76" t="str">
        <x:f>IF(COUNT(AZ20,AZ22)=2,AZ20*AZ22,"n.a.")</x:f>
        <x:v>n.a.</x:v>
      </x:c>
      <x:c r="BA23" s="76" t="str">
        <x:f>IF(COUNT(BA20,BA22)=2,BA20*BA22,"n.a.")</x:f>
        <x:v>n.a.</x:v>
      </x:c>
      <x:c r="BB23" s="76" t="str">
        <x:f>IF(COUNT(BB20,BB22)=2,BB20*BB22,"n.a.")</x:f>
        <x:v>n.a.</x:v>
      </x:c>
      <x:c r="BC23" s="76" t="str">
        <x:f>IF(COUNT(BC20,BC22)=2,BC20*BC22,"n.a.")</x:f>
        <x:v>n.a.</x:v>
      </x:c>
      <x:c r="BD23" s="76" t="str">
        <x:f>IF(COUNT(BD20,BD22)=2,BD20*BD22,"n.a.")</x:f>
        <x:v>n.a.</x:v>
      </x:c>
      <x:c r="BE23" s="76" t="str">
        <x:f>IF(COUNT(BE20,BE22)=2,BE20*BE22,"n.a.")</x:f>
        <x:v>n.a.</x:v>
      </x:c>
      <x:c r="BF23" s="76" t="str">
        <x:f>IF(COUNT(BF20,BF22)=2,BF20*BF22,"n.a.")</x:f>
        <x:v>n.a.</x:v>
      </x:c>
      <x:c r="BG23" s="76" t="str">
        <x:f>IF(COUNT(BG20,BG22)=2,BG20*BG22,"n.a.")</x:f>
        <x:v>n.a.</x:v>
      </x:c>
      <x:c r="BH23" s="76" t="str">
        <x:f>IF(COUNT(BH20,BH22)=2,BH20*BH22,"n.a.")</x:f>
        <x:v>n.a.</x:v>
      </x:c>
      <x:c r="BI23" s="76" t="str">
        <x:f>IF(COUNT(BI20,BI22)=2,BI20*BI22,"n.a.")</x:f>
        <x:v>n.a.</x:v>
      </x:c>
      <x:c r="BJ23" s="76" t="str">
        <x:f>IF(COUNT(BJ20,BJ22)=2,BJ20*BJ22,"n.a.")</x:f>
        <x:v>n.a.</x:v>
      </x:c>
      <x:c r="BK23" s="76" t="str">
        <x:f>IF(COUNT(BK20,BK22)=2,BK20*BK22,"n.a.")</x:f>
        <x:v>n.a.</x:v>
      </x:c>
      <x:c r="BL23" s="76" t="str">
        <x:f>IF(COUNT(BL20,BL22)=2,BL20*BL22,"n.a.")</x:f>
        <x:v>n.a.</x:v>
      </x:c>
      <x:c r="BM23" s="76" t="str">
        <x:f>IF(COUNT(BM20,BM22)=2,BM20*BM22,"n.a.")</x:f>
        <x:v>n.a.</x:v>
      </x:c>
      <x:c r="BN23" s="76" t="str">
        <x:f>IF(COUNT(BN20,BN22)=2,BN20*BN22,"n.a.")</x:f>
        <x:v>n.a.</x:v>
      </x:c>
      <x:c r="BO23" s="76" t="str">
        <x:f>IF(COUNT(BO20,BO22)=2,BO20*BO22,"n.a.")</x:f>
        <x:v>n.a.</x:v>
      </x:c>
      <x:c r="BP23" s="76" t="str">
        <x:f>IF(COUNT(BP20,BP22)=2,BP20*BP22,"n.a.")</x:f>
        <x:v>n.a.</x:v>
      </x:c>
      <x:c r="BQ23" s="76" t="str">
        <x:f>IF(COUNT(BQ20,BQ22)=2,BQ20*BQ22,"n.a.")</x:f>
        <x:v>n.a.</x:v>
      </x:c>
    </x:row>
    <x:row r="24" ht="23" customHeight="1">
      <x:c r="A24" s="2"/>
      <x:c r="B24" s="2"/>
      <x:c r="C24" s="2" t="str">
        <x:v>Strategy new sales: planned / required</x:v>
      </x:c>
      <x:c r="D24" s="76" t="n">
        <x:f>IF(COUNT(J24:U24)=12,SUM(J24:U24),"n.a.")</x:f>
        <x:v>0</x:v>
      </x:c>
      <x:c r="E24" s="76" t="str">
        <x:f>IF(COUNT(V24:AG24)=12,SUM(V24:AG24),"n.a.")</x:f>
        <x:v>n.a.</x:v>
      </x:c>
      <x:c r="F24" s="76" t="str">
        <x:f>IF(COUNT(AH24:AS24)=12,SUM(AH24:AS24),"n.a.")</x:f>
        <x:v>n.a.</x:v>
      </x:c>
      <x:c r="G24" s="76" t="str">
        <x:f>IF(COUNT(AT24:BE24)=12,SUM(AT24:BE24),"n.a.")</x:f>
        <x:v>n.a.</x:v>
      </x:c>
      <x:c r="H24" s="76" t="str">
        <x:f>IF(COUNT(BF24:BQ24)=12,SUM(BF24:BQ24),"n.a.")</x:f>
        <x:v>n.a.</x:v>
      </x:c>
      <x:c r="I24" s="77" t="n">
        <x:f>'Assumptions'!D51</x:f>
        <x:v>500</x:v>
      </x:c>
      <x:c r="J24" s="77" t="n">
        <x:f>IF(ISNUMBER('Assumptions'!$D$54),'Assumptions'!$D$54,"n.a.")</x:f>
        <x:v>0</x:v>
      </x:c>
      <x:c r="K24" s="77" t="n">
        <x:f>IF(ISNUMBER('Assumptions'!$D$54),'Assumptions'!$D$54,"n.a.")</x:f>
        <x:v>0</x:v>
      </x:c>
      <x:c r="L24" s="77" t="n">
        <x:f>IF(ISNUMBER('Assumptions'!$D$54),'Assumptions'!$D$54,"n.a.")</x:f>
        <x:v>0</x:v>
      </x:c>
      <x:c r="M24" s="77" t="n">
        <x:f>IF(ISNUMBER('Assumptions'!$D$54),'Assumptions'!$D$54,"n.a.")</x:f>
        <x:v>0</x:v>
      </x:c>
      <x:c r="N24" s="77" t="n">
        <x:f>IF(ISNUMBER('Assumptions'!$D$54),'Assumptions'!$D$54,"n.a.")</x:f>
        <x:v>0</x:v>
      </x:c>
      <x:c r="O24" s="77" t="n">
        <x:f>IF(ISNUMBER('Assumptions'!$D$54),'Assumptions'!$D$54,"n.a.")</x:f>
        <x:v>0</x:v>
      </x:c>
      <x:c r="P24" s="77" t="n">
        <x:f>IF(ISNUMBER('Assumptions'!$D$54),'Assumptions'!$D$54,"n.a.")</x:f>
        <x:v>0</x:v>
      </x:c>
      <x:c r="Q24" s="77" t="n">
        <x:f>IF(ISNUMBER('Assumptions'!$D$54),'Assumptions'!$D$54,"n.a.")</x:f>
        <x:v>0</x:v>
      </x:c>
      <x:c r="R24" s="77" t="n">
        <x:f>IF(ISNUMBER('Assumptions'!$D$54),'Assumptions'!$D$54,"n.a.")</x:f>
        <x:v>0</x:v>
      </x:c>
      <x:c r="S24" s="77" t="n">
        <x:f>IF(ISNUMBER('Assumptions'!$D$54),'Assumptions'!$D$54,"n.a.")</x:f>
        <x:v>0</x:v>
      </x:c>
      <x:c r="T24" s="77" t="n">
        <x:f>IF(ISNUMBER('Assumptions'!$D$54),'Assumptions'!$D$54,"n.a.")</x:f>
        <x:v>0</x:v>
      </x:c>
      <x:c r="U24" s="77" t="n">
        <x:f>IF(ISNUMBER('Assumptions'!$D$54),'Assumptions'!$D$54,"n.a.")</x:f>
        <x:v>0</x:v>
      </x:c>
      <x:c r="V24" s="76" t="str">
        <x:f>IF(ISNUMBER(V23),SUM(V21,V23),"n.a.")</x:f>
        <x:v>n.a.</x:v>
      </x:c>
      <x:c r="W24" s="76" t="str">
        <x:f>IF(ISNUMBER(W23),SUM(W21,W23),"n.a.")</x:f>
        <x:v>n.a.</x:v>
      </x:c>
      <x:c r="X24" s="76" t="str">
        <x:f>IF(ISNUMBER(X23),SUM(X21,X23),"n.a.")</x:f>
        <x:v>n.a.</x:v>
      </x:c>
      <x:c r="Y24" s="76" t="str">
        <x:f>IF(ISNUMBER(Y23),SUM(Y21,Y23),"n.a.")</x:f>
        <x:v>n.a.</x:v>
      </x:c>
      <x:c r="Z24" s="76" t="str">
        <x:f>IF(ISNUMBER(Z23),SUM(Z21,Z23),"n.a.")</x:f>
        <x:v>n.a.</x:v>
      </x:c>
      <x:c r="AA24" s="76" t="str">
        <x:f>IF(ISNUMBER(AA23),SUM(AA21,AA23),"n.a.")</x:f>
        <x:v>n.a.</x:v>
      </x:c>
      <x:c r="AB24" s="76" t="str">
        <x:f>IF(ISNUMBER(AB23),SUM(AB21,AB23),"n.a.")</x:f>
        <x:v>n.a.</x:v>
      </x:c>
      <x:c r="AC24" s="76" t="str">
        <x:f>IF(ISNUMBER(AC23),SUM(AC21,AC23),"n.a.")</x:f>
        <x:v>n.a.</x:v>
      </x:c>
      <x:c r="AD24" s="76" t="str">
        <x:f>IF(ISNUMBER(AD23),SUM(AD21,AD23),"n.a.")</x:f>
        <x:v>n.a.</x:v>
      </x:c>
      <x:c r="AE24" s="76" t="str">
        <x:f>IF(ISNUMBER(AE23),SUM(AE21,AE23),"n.a.")</x:f>
        <x:v>n.a.</x:v>
      </x:c>
      <x:c r="AF24" s="76" t="str">
        <x:f>IF(ISNUMBER(AF23),SUM(AF21,AF23),"n.a.")</x:f>
        <x:v>n.a.</x:v>
      </x:c>
      <x:c r="AG24" s="76" t="str">
        <x:f>IF(ISNUMBER(AG23),SUM(AG21,AG23),"n.a.")</x:f>
        <x:v>n.a.</x:v>
      </x:c>
      <x:c r="AH24" s="76" t="str">
        <x:f>IF(ISNUMBER(AH23),SUM(AH21,AH23),"n.a.")</x:f>
        <x:v>n.a.</x:v>
      </x:c>
      <x:c r="AI24" s="76" t="str">
        <x:f>IF(ISNUMBER(AI23),SUM(AI21,AI23),"n.a.")</x:f>
        <x:v>n.a.</x:v>
      </x:c>
      <x:c r="AJ24" s="76" t="str">
        <x:f>IF(ISNUMBER(AJ23),SUM(AJ21,AJ23),"n.a.")</x:f>
        <x:v>n.a.</x:v>
      </x:c>
      <x:c r="AK24" s="76" t="str">
        <x:f>IF(ISNUMBER(AK23),SUM(AK21,AK23),"n.a.")</x:f>
        <x:v>n.a.</x:v>
      </x:c>
      <x:c r="AL24" s="76" t="str">
        <x:f>IF(ISNUMBER(AL23),SUM(AL21,AL23),"n.a.")</x:f>
        <x:v>n.a.</x:v>
      </x:c>
      <x:c r="AM24" s="76" t="str">
        <x:f>IF(ISNUMBER(AM23),SUM(AM21,AM23),"n.a.")</x:f>
        <x:v>n.a.</x:v>
      </x:c>
      <x:c r="AN24" s="76" t="str">
        <x:f>IF(ISNUMBER(AN23),SUM(AN21,AN23),"n.a.")</x:f>
        <x:v>n.a.</x:v>
      </x:c>
      <x:c r="AO24" s="76" t="str">
        <x:f>IF(ISNUMBER(AO23),SUM(AO21,AO23),"n.a.")</x:f>
        <x:v>n.a.</x:v>
      </x:c>
      <x:c r="AP24" s="76" t="str">
        <x:f>IF(ISNUMBER(AP23),SUM(AP21,AP23),"n.a.")</x:f>
        <x:v>n.a.</x:v>
      </x:c>
      <x:c r="AQ24" s="76" t="str">
        <x:f>IF(ISNUMBER(AQ23),SUM(AQ21,AQ23),"n.a.")</x:f>
        <x:v>n.a.</x:v>
      </x:c>
      <x:c r="AR24" s="76" t="str">
        <x:f>IF(ISNUMBER(AR23),SUM(AR21,AR23),"n.a.")</x:f>
        <x:v>n.a.</x:v>
      </x:c>
      <x:c r="AS24" s="76" t="str">
        <x:f>IF(ISNUMBER(AS23),SUM(AS21,AS23),"n.a.")</x:f>
        <x:v>n.a.</x:v>
      </x:c>
      <x:c r="AT24" s="76" t="str">
        <x:f>IF(ISNUMBER(AT23),SUM(AT21,AT23),"n.a.")</x:f>
        <x:v>n.a.</x:v>
      </x:c>
      <x:c r="AU24" s="76" t="str">
        <x:f>IF(ISNUMBER(AU23),SUM(AU21,AU23),"n.a.")</x:f>
        <x:v>n.a.</x:v>
      </x:c>
      <x:c r="AV24" s="76" t="str">
        <x:f>IF(ISNUMBER(AV23),SUM(AV21,AV23),"n.a.")</x:f>
        <x:v>n.a.</x:v>
      </x:c>
      <x:c r="AW24" s="76" t="str">
        <x:f>IF(ISNUMBER(AW23),SUM(AW21,AW23),"n.a.")</x:f>
        <x:v>n.a.</x:v>
      </x:c>
      <x:c r="AX24" s="76" t="str">
        <x:f>IF(ISNUMBER(AX23),SUM(AX21,AX23),"n.a.")</x:f>
        <x:v>n.a.</x:v>
      </x:c>
      <x:c r="AY24" s="76" t="str">
        <x:f>IF(ISNUMBER(AY23),SUM(AY21,AY23),"n.a.")</x:f>
        <x:v>n.a.</x:v>
      </x:c>
      <x:c r="AZ24" s="76" t="str">
        <x:f>IF(ISNUMBER(AZ23),SUM(AZ21,AZ23),"n.a.")</x:f>
        <x:v>n.a.</x:v>
      </x:c>
      <x:c r="BA24" s="76" t="str">
        <x:f>IF(ISNUMBER(BA23),SUM(BA21,BA23),"n.a.")</x:f>
        <x:v>n.a.</x:v>
      </x:c>
      <x:c r="BB24" s="76" t="str">
        <x:f>IF(ISNUMBER(BB23),SUM(BB21,BB23),"n.a.")</x:f>
        <x:v>n.a.</x:v>
      </x:c>
      <x:c r="BC24" s="76" t="str">
        <x:f>IF(ISNUMBER(BC23),SUM(BC21,BC23),"n.a.")</x:f>
        <x:v>n.a.</x:v>
      </x:c>
      <x:c r="BD24" s="76" t="str">
        <x:f>IF(ISNUMBER(BD23),SUM(BD21,BD23),"n.a.")</x:f>
        <x:v>n.a.</x:v>
      </x:c>
      <x:c r="BE24" s="76" t="str">
        <x:f>IF(ISNUMBER(BE23),SUM(BE21,BE23),"n.a.")</x:f>
        <x:v>n.a.</x:v>
      </x:c>
      <x:c r="BF24" s="76" t="str">
        <x:f>IF(ISNUMBER(BF23),SUM(BF21,BF23),"n.a.")</x:f>
        <x:v>n.a.</x:v>
      </x:c>
      <x:c r="BG24" s="76" t="str">
        <x:f>IF(ISNUMBER(BG23),SUM(BG21,BG23),"n.a.")</x:f>
        <x:v>n.a.</x:v>
      </x:c>
      <x:c r="BH24" s="76" t="str">
        <x:f>IF(ISNUMBER(BH23),SUM(BH21,BH23),"n.a.")</x:f>
        <x:v>n.a.</x:v>
      </x:c>
      <x:c r="BI24" s="76" t="str">
        <x:f>IF(ISNUMBER(BI23),SUM(BI21,BI23),"n.a.")</x:f>
        <x:v>n.a.</x:v>
      </x:c>
      <x:c r="BJ24" s="76" t="str">
        <x:f>IF(ISNUMBER(BJ23),SUM(BJ21,BJ23),"n.a.")</x:f>
        <x:v>n.a.</x:v>
      </x:c>
      <x:c r="BK24" s="76" t="str">
        <x:f>IF(ISNUMBER(BK23),SUM(BK21,BK23),"n.a.")</x:f>
        <x:v>n.a.</x:v>
      </x:c>
      <x:c r="BL24" s="76" t="str">
        <x:f>IF(ISNUMBER(BL23),SUM(BL21,BL23),"n.a.")</x:f>
        <x:v>n.a.</x:v>
      </x:c>
      <x:c r="BM24" s="76" t="str">
        <x:f>IF(ISNUMBER(BM23),SUM(BM21,BM23),"n.a.")</x:f>
        <x:v>n.a.</x:v>
      </x:c>
      <x:c r="BN24" s="76" t="str">
        <x:f>IF(ISNUMBER(BN23),SUM(BN21,BN23),"n.a.")</x:f>
        <x:v>n.a.</x:v>
      </x:c>
      <x:c r="BO24" s="76" t="str">
        <x:f>IF(ISNUMBER(BO23),SUM(BO21,BO23),"n.a.")</x:f>
        <x:v>n.a.</x:v>
      </x:c>
      <x:c r="BP24" s="76" t="str">
        <x:f>IF(ISNUMBER(BP23),SUM(BP21,BP23),"n.a.")</x:f>
        <x:v>n.a.</x:v>
      </x:c>
      <x:c r="BQ24" s="76" t="str">
        <x:f>IF(ISNUMBER(BQ23),SUM(BQ21,BQ23),"n.a.")</x:f>
        <x:v>n.a.</x:v>
      </x:c>
    </x:row>
    <x:row r="25" ht="23" customHeight="1">
      <x:c r="A25" s="2"/>
      <x:c r="B25" s="2"/>
      <x:c r="C25" s="2" t="str">
        <x:v>Strategy closing subscribers</x:v>
      </x:c>
      <x:c r="D25" s="76" t="n">
        <x:f>U25</x:f>
        <x:v>500</x:v>
      </x:c>
      <x:c r="E25" s="76" t="n">
        <x:f>AG25</x:f>
        <x:v>999.9999999999995</x:v>
      </x:c>
      <x:c r="F25" s="76" t="n">
        <x:f>AS25</x:f>
        <x:v>2499.9999999999995</x:v>
      </x:c>
      <x:c r="G25" s="76" t="n">
        <x:f>BE25</x:f>
        <x:v>5500</x:v>
      </x:c>
      <x:c r="H25" s="76" t="n">
        <x:f>BQ25</x:f>
        <x:v>10000</x:v>
      </x:c>
      <x:c r="I25" s="76" t="n">
        <x:f>SUM(I20:I21)</x:f>
        <x:v>500</x:v>
      </x:c>
      <x:c r="J25" s="76" t="n">
        <x:f>IF(COUNT(J20,J21)=2,SUM(J20,J21),"n.a.")</x:f>
        <x:v>500</x:v>
      </x:c>
      <x:c r="K25" s="76" t="n">
        <x:f>IF(COUNT(K20,K21)=2,SUM(K20,K21),"n.a.")</x:f>
        <x:v>500</x:v>
      </x:c>
      <x:c r="L25" s="76" t="n">
        <x:f>IF(COUNT(L20,L21)=2,SUM(L20,L21),"n.a.")</x:f>
        <x:v>500</x:v>
      </x:c>
      <x:c r="M25" s="76" t="n">
        <x:f>IF(COUNT(M20,M21)=2,SUM(M20,M21),"n.a.")</x:f>
        <x:v>500</x:v>
      </x:c>
      <x:c r="N25" s="76" t="n">
        <x:f>IF(COUNT(N20,N21)=2,SUM(N20,N21),"n.a.")</x:f>
        <x:v>500</x:v>
      </x:c>
      <x:c r="O25" s="76" t="n">
        <x:f>IF(COUNT(O20,O21)=2,SUM(O20,O21),"n.a.")</x:f>
        <x:v>500</x:v>
      </x:c>
      <x:c r="P25" s="76" t="n">
        <x:f>IF(COUNT(P20,P21)=2,SUM(P20,P21),"n.a.")</x:f>
        <x:v>500</x:v>
      </x:c>
      <x:c r="Q25" s="76" t="n">
        <x:f>IF(COUNT(Q20,Q21)=2,SUM(Q20,Q21),"n.a.")</x:f>
        <x:v>500</x:v>
      </x:c>
      <x:c r="R25" s="76" t="n">
        <x:f>IF(COUNT(R20,R21)=2,SUM(R20,R21),"n.a.")</x:f>
        <x:v>500</x:v>
      </x:c>
      <x:c r="S25" s="76" t="n">
        <x:f>IF(COUNT(S20,S21)=2,SUM(S20,S21),"n.a.")</x:f>
        <x:v>500</x:v>
      </x:c>
      <x:c r="T25" s="76" t="n">
        <x:f>IF(COUNT(T20,T21)=2,SUM(T20,T21),"n.a.")</x:f>
        <x:v>500</x:v>
      </x:c>
      <x:c r="U25" s="76" t="n">
        <x:f>IF(COUNT(U20,U21)=2,SUM(U20,U21),"n.a.")</x:f>
        <x:v>500</x:v>
      </x:c>
      <x:c r="V25" s="76" t="n">
        <x:f>IF(COUNT(V20,V21)=2,SUM(V20,V21),"n.a.")</x:f>
        <x:v>541.6666666666666</x:v>
      </x:c>
      <x:c r="W25" s="76" t="n">
        <x:f>IF(COUNT(W20,W21)=2,SUM(W20,W21),"n.a.")</x:f>
        <x:v>583.3333333333333</x:v>
      </x:c>
      <x:c r="X25" s="76" t="n">
        <x:f>IF(COUNT(X20,X21)=2,SUM(X20,X21),"n.a.")</x:f>
        <x:v>624.9999999999999</x:v>
      </x:c>
      <x:c r="Y25" s="76" t="n">
        <x:f>IF(COUNT(Y20,Y21)=2,SUM(Y20,Y21),"n.a.")</x:f>
        <x:v>666.6666666666665</x:v>
      </x:c>
      <x:c r="Z25" s="76" t="n">
        <x:f>IF(COUNT(Z20,Z21)=2,SUM(Z20,Z21),"n.a.")</x:f>
        <x:v>708.3333333333331</x:v>
      </x:c>
      <x:c r="AA25" s="76" t="n">
        <x:f>IF(COUNT(AA20,AA21)=2,SUM(AA20,AA21),"n.a.")</x:f>
        <x:v>749.9999999999998</x:v>
      </x:c>
      <x:c r="AB25" s="76" t="n">
        <x:f>IF(COUNT(AB20,AB21)=2,SUM(AB20,AB21),"n.a.")</x:f>
        <x:v>791.6666666666664</x:v>
      </x:c>
      <x:c r="AC25" s="76" t="n">
        <x:f>IF(COUNT(AC20,AC21)=2,SUM(AC20,AC21),"n.a.")</x:f>
        <x:v>833.333333333333</x:v>
      </x:c>
      <x:c r="AD25" s="76" t="n">
        <x:f>IF(COUNT(AD20,AD21)=2,SUM(AD20,AD21),"n.a.")</x:f>
        <x:v>874.9999999999997</x:v>
      </x:c>
      <x:c r="AE25" s="76" t="n">
        <x:f>IF(COUNT(AE20,AE21)=2,SUM(AE20,AE21),"n.a.")</x:f>
        <x:v>916.6666666666663</x:v>
      </x:c>
      <x:c r="AF25" s="76" t="n">
        <x:f>IF(COUNT(AF20,AF21)=2,SUM(AF20,AF21),"n.a.")</x:f>
        <x:v>958.3333333333329</x:v>
      </x:c>
      <x:c r="AG25" s="76" t="n">
        <x:f>IF(COUNT(AG20,AG21)=2,SUM(AG20,AG21),"n.a.")</x:f>
        <x:v>999.9999999999995</x:v>
      </x:c>
      <x:c r="AH25" s="76" t="n">
        <x:f>IF(COUNT(AH20,AH21)=2,SUM(AH20,AH21),"n.a.")</x:f>
        <x:v>1124.9999999999995</x:v>
      </x:c>
      <x:c r="AI25" s="76" t="n">
        <x:f>IF(COUNT(AI20,AI21)=2,SUM(AI20,AI21),"n.a.")</x:f>
        <x:v>1249.9999999999995</x:v>
      </x:c>
      <x:c r="AJ25" s="76" t="n">
        <x:f>IF(COUNT(AJ20,AJ21)=2,SUM(AJ20,AJ21),"n.a.")</x:f>
        <x:v>1374.9999999999995</x:v>
      </x:c>
      <x:c r="AK25" s="76" t="n">
        <x:f>IF(COUNT(AK20,AK21)=2,SUM(AK20,AK21),"n.a.")</x:f>
        <x:v>1499.9999999999995</x:v>
      </x:c>
      <x:c r="AL25" s="76" t="n">
        <x:f>IF(COUNT(AL20,AL21)=2,SUM(AL20,AL21),"n.a.")</x:f>
        <x:v>1624.9999999999995</x:v>
      </x:c>
      <x:c r="AM25" s="76" t="n">
        <x:f>IF(COUNT(AM20,AM21)=2,SUM(AM20,AM21),"n.a.")</x:f>
        <x:v>1749.9999999999995</x:v>
      </x:c>
      <x:c r="AN25" s="76" t="n">
        <x:f>IF(COUNT(AN20,AN21)=2,SUM(AN20,AN21),"n.a.")</x:f>
        <x:v>1874.9999999999995</x:v>
      </x:c>
      <x:c r="AO25" s="76" t="n">
        <x:f>IF(COUNT(AO20,AO21)=2,SUM(AO20,AO21),"n.a.")</x:f>
        <x:v>1999.9999999999995</x:v>
      </x:c>
      <x:c r="AP25" s="76" t="n">
        <x:f>IF(COUNT(AP20,AP21)=2,SUM(AP20,AP21),"n.a.")</x:f>
        <x:v>2124.9999999999995</x:v>
      </x:c>
      <x:c r="AQ25" s="76" t="n">
        <x:f>IF(COUNT(AQ20,AQ21)=2,SUM(AQ20,AQ21),"n.a.")</x:f>
        <x:v>2249.9999999999995</x:v>
      </x:c>
      <x:c r="AR25" s="76" t="n">
        <x:f>IF(COUNT(AR20,AR21)=2,SUM(AR20,AR21),"n.a.")</x:f>
        <x:v>2374.9999999999995</x:v>
      </x:c>
      <x:c r="AS25" s="76" t="n">
        <x:f>IF(COUNT(AS20,AS21)=2,SUM(AS20,AS21),"n.a.")</x:f>
        <x:v>2499.9999999999995</x:v>
      </x:c>
      <x:c r="AT25" s="76" t="n">
        <x:f>IF(COUNT(AT20,AT21)=2,SUM(AT20,AT21),"n.a.")</x:f>
        <x:v>2749.9999999999995</x:v>
      </x:c>
      <x:c r="AU25" s="76" t="n">
        <x:f>IF(COUNT(AU20,AU21)=2,SUM(AU20,AU21),"n.a.")</x:f>
        <x:v>2999.9999999999995</x:v>
      </x:c>
      <x:c r="AV25" s="76" t="n">
        <x:f>IF(COUNT(AV20,AV21)=2,SUM(AV20,AV21),"n.a.")</x:f>
        <x:v>3249.9999999999995</x:v>
      </x:c>
      <x:c r="AW25" s="76" t="n">
        <x:f>IF(COUNT(AW20,AW21)=2,SUM(AW20,AW21),"n.a.")</x:f>
        <x:v>3499.9999999999995</x:v>
      </x:c>
      <x:c r="AX25" s="76" t="n">
        <x:f>IF(COUNT(AX20,AX21)=2,SUM(AX20,AX21),"n.a.")</x:f>
        <x:v>3749.9999999999995</x:v>
      </x:c>
      <x:c r="AY25" s="76" t="n">
        <x:f>IF(COUNT(AY20,AY21)=2,SUM(AY20,AY21),"n.a.")</x:f>
        <x:v>3999.9999999999995</x:v>
      </x:c>
      <x:c r="AZ25" s="76" t="n">
        <x:f>IF(COUNT(AZ20,AZ21)=2,SUM(AZ20,AZ21),"n.a.")</x:f>
        <x:v>4250</x:v>
      </x:c>
      <x:c r="BA25" s="76" t="n">
        <x:f>IF(COUNT(BA20,BA21)=2,SUM(BA20,BA21),"n.a.")</x:f>
        <x:v>4500</x:v>
      </x:c>
      <x:c r="BB25" s="76" t="n">
        <x:f>IF(COUNT(BB20,BB21)=2,SUM(BB20,BB21),"n.a.")</x:f>
        <x:v>4750</x:v>
      </x:c>
      <x:c r="BC25" s="76" t="n">
        <x:f>IF(COUNT(BC20,BC21)=2,SUM(BC20,BC21),"n.a.")</x:f>
        <x:v>5000</x:v>
      </x:c>
      <x:c r="BD25" s="76" t="n">
        <x:f>IF(COUNT(BD20,BD21)=2,SUM(BD20,BD21),"n.a.")</x:f>
        <x:v>5250</x:v>
      </x:c>
      <x:c r="BE25" s="76" t="n">
        <x:f>IF(COUNT(BE20,BE21)=2,SUM(BE20,BE21),"n.a.")</x:f>
        <x:v>5500</x:v>
      </x:c>
      <x:c r="BF25" s="76" t="n">
        <x:f>IF(COUNT(BF20,BF21)=2,SUM(BF20,BF21),"n.a.")</x:f>
        <x:v>5875</x:v>
      </x:c>
      <x:c r="BG25" s="76" t="n">
        <x:f>IF(COUNT(BG20,BG21)=2,SUM(BG20,BG21),"n.a.")</x:f>
        <x:v>6250</x:v>
      </x:c>
      <x:c r="BH25" s="76" t="n">
        <x:f>IF(COUNT(BH20,BH21)=2,SUM(BH20,BH21),"n.a.")</x:f>
        <x:v>6625</x:v>
      </x:c>
      <x:c r="BI25" s="76" t="n">
        <x:f>IF(COUNT(BI20,BI21)=2,SUM(BI20,BI21),"n.a.")</x:f>
        <x:v>7000</x:v>
      </x:c>
      <x:c r="BJ25" s="76" t="n">
        <x:f>IF(COUNT(BJ20,BJ21)=2,SUM(BJ20,BJ21),"n.a.")</x:f>
        <x:v>7375</x:v>
      </x:c>
      <x:c r="BK25" s="76" t="n">
        <x:f>IF(COUNT(BK20,BK21)=2,SUM(BK20,BK21),"n.a.")</x:f>
        <x:v>7750</x:v>
      </x:c>
      <x:c r="BL25" s="76" t="n">
        <x:f>IF(COUNT(BL20,BL21)=2,SUM(BL20,BL21),"n.a.")</x:f>
        <x:v>8125</x:v>
      </x:c>
      <x:c r="BM25" s="76" t="n">
        <x:f>IF(COUNT(BM20,BM21)=2,SUM(BM20,BM21),"n.a.")</x:f>
        <x:v>8500</x:v>
      </x:c>
      <x:c r="BN25" s="76" t="n">
        <x:f>IF(COUNT(BN20,BN21)=2,SUM(BN20,BN21),"n.a.")</x:f>
        <x:v>8875</x:v>
      </x:c>
      <x:c r="BO25" s="76" t="n">
        <x:f>IF(COUNT(BO20,BO21)=2,SUM(BO20,BO21),"n.a.")</x:f>
        <x:v>9250</x:v>
      </x:c>
      <x:c r="BP25" s="76" t="n">
        <x:f>IF(COUNT(BP20,BP21)=2,SUM(BP20,BP21),"n.a.")</x:f>
        <x:v>9625</x:v>
      </x:c>
      <x:c r="BQ25" s="76" t="n">
        <x:f>IF(COUNT(BQ20,BQ21)=2,SUM(BQ20,BQ21),"n.a.")</x:f>
        <x:v>10000</x:v>
      </x:c>
    </x:row>
    <x:row r="26" ht="23" customHeight="1">
      <x:c r="A26" s="2"/>
      <x:c r="B26" s="2"/>
      <x:c r="C26" s="2" t="str">
        <x:v>Strategy average billable subscribers</x:v>
      </x:c>
      <x:c r="D26" s="76" t="n">
        <x:f>IF(COUNT(J26:U26)=12,AVERAGE(J26:U26),"n.a.")</x:f>
        <x:v>500</x:v>
      </x:c>
      <x:c r="E26" s="76" t="n">
        <x:f>IF(COUNT(V26:AG26)=12,AVERAGE(V26:AG26),"n.a.")</x:f>
        <x:v>749.9999999999999</x:v>
      </x:c>
      <x:c r="F26" s="76" t="n">
        <x:f>IF(COUNT(AH26:AS26)=12,AVERAGE(AH26:AS26),"n.a.")</x:f>
        <x:v>1749.9999999999998</x:v>
      </x:c>
      <x:c r="G26" s="76" t="n">
        <x:f>IF(COUNT(AT26:BE26)=12,AVERAGE(AT26:BE26),"n.a.")</x:f>
        <x:v>4000</x:v>
      </x:c>
      <x:c r="H26" s="76" t="n">
        <x:f>IF(COUNT(BF26:BQ26)=12,AVERAGE(BF26:BQ26),"n.a.")</x:f>
        <x:v>7750</x:v>
      </x:c>
      <x:c r="I26" s="77" t="n">
        <x:f>I20+I24*'Assumptions'!D52</x:f>
        <x:v>250</x:v>
      </x:c>
      <x:c r="J26" s="77" t="n">
        <x:f>IF(COUNT(J20,J21)=2,J20+J21*'Assumptions'!D15,"n.a.")</x:f>
        <x:v>500</x:v>
      </x:c>
      <x:c r="K26" s="77" t="n">
        <x:f>IF(COUNT(K20,K21)=2,K20+K21*'Assumptions'!D15,"n.a.")</x:f>
        <x:v>500</x:v>
      </x:c>
      <x:c r="L26" s="77" t="n">
        <x:f>IF(COUNT(L20,L21)=2,L20+L21*'Assumptions'!D15,"n.a.")</x:f>
        <x:v>500</x:v>
      </x:c>
      <x:c r="M26" s="77" t="n">
        <x:f>IF(COUNT(M20,M21)=2,M20+M21*'Assumptions'!D15,"n.a.")</x:f>
        <x:v>500</x:v>
      </x:c>
      <x:c r="N26" s="77" t="n">
        <x:f>IF(COUNT(N20,N21)=2,N20+N21*'Assumptions'!D15,"n.a.")</x:f>
        <x:v>500</x:v>
      </x:c>
      <x:c r="O26" s="77" t="n">
        <x:f>IF(COUNT(O20,O21)=2,O20+O21*'Assumptions'!D15,"n.a.")</x:f>
        <x:v>500</x:v>
      </x:c>
      <x:c r="P26" s="77" t="n">
        <x:f>IF(COUNT(P20,P21)=2,P20+P21*'Assumptions'!D15,"n.a.")</x:f>
        <x:v>500</x:v>
      </x:c>
      <x:c r="Q26" s="77" t="n">
        <x:f>IF(COUNT(Q20,Q21)=2,Q20+Q21*'Assumptions'!D15,"n.a.")</x:f>
        <x:v>500</x:v>
      </x:c>
      <x:c r="R26" s="77" t="n">
        <x:f>IF(COUNT(R20,R21)=2,R20+R21*'Assumptions'!D15,"n.a.")</x:f>
        <x:v>500</x:v>
      </x:c>
      <x:c r="S26" s="77" t="n">
        <x:f>IF(COUNT(S20,S21)=2,S20+S21*'Assumptions'!D15,"n.a.")</x:f>
        <x:v>500</x:v>
      </x:c>
      <x:c r="T26" s="77" t="n">
        <x:f>IF(COUNT(T20,T21)=2,T20+T21*'Assumptions'!D15,"n.a.")</x:f>
        <x:v>500</x:v>
      </x:c>
      <x:c r="U26" s="77" t="n">
        <x:f>IF(COUNT(U20,U21)=2,U20+U21*'Assumptions'!D15,"n.a.")</x:f>
        <x:v>500</x:v>
      </x:c>
      <x:c r="V26" s="77" t="n">
        <x:f>IF(COUNT(V20,V21)=2,V20+V21*'Assumptions'!E15,"n.a.")</x:f>
        <x:v>520.8333333333334</x:v>
      </x:c>
      <x:c r="W26" s="77" t="n">
        <x:f>IF(COUNT(W20,W21)=2,W20+W21*'Assumptions'!E15,"n.a.")</x:f>
        <x:v>562.5</x:v>
      </x:c>
      <x:c r="X26" s="77" t="n">
        <x:f>IF(COUNT(X20,X21)=2,X20+X21*'Assumptions'!E15,"n.a.")</x:f>
        <x:v>604.1666666666666</x:v>
      </x:c>
      <x:c r="Y26" s="77" t="n">
        <x:f>IF(COUNT(Y20,Y21)=2,Y20+Y21*'Assumptions'!E15,"n.a.")</x:f>
        <x:v>645.8333333333333</x:v>
      </x:c>
      <x:c r="Z26" s="77" t="n">
        <x:f>IF(COUNT(Z20,Z21)=2,Z20+Z21*'Assumptions'!E15,"n.a.")</x:f>
        <x:v>687.4999999999999</x:v>
      </x:c>
      <x:c r="AA26" s="77" t="n">
        <x:f>IF(COUNT(AA20,AA21)=2,AA20+AA21*'Assumptions'!E15,"n.a.")</x:f>
        <x:v>729.1666666666665</x:v>
      </x:c>
      <x:c r="AB26" s="77" t="n">
        <x:f>IF(COUNT(AB20,AB21)=2,AB20+AB21*'Assumptions'!E15,"n.a.")</x:f>
        <x:v>770.8333333333331</x:v>
      </x:c>
      <x:c r="AC26" s="77" t="n">
        <x:f>IF(COUNT(AC20,AC21)=2,AC20+AC21*'Assumptions'!E15,"n.a.")</x:f>
        <x:v>812.4999999999998</x:v>
      </x:c>
      <x:c r="AD26" s="77" t="n">
        <x:f>IF(COUNT(AD20,AD21)=2,AD20+AD21*'Assumptions'!E15,"n.a.")</x:f>
        <x:v>854.1666666666664</x:v>
      </x:c>
      <x:c r="AE26" s="77" t="n">
        <x:f>IF(COUNT(AE20,AE21)=2,AE20+AE21*'Assumptions'!E15,"n.a.")</x:f>
        <x:v>895.833333333333</x:v>
      </x:c>
      <x:c r="AF26" s="77" t="n">
        <x:f>IF(COUNT(AF20,AF21)=2,AF20+AF21*'Assumptions'!E15,"n.a.")</x:f>
        <x:v>937.4999999999997</x:v>
      </x:c>
      <x:c r="AG26" s="77" t="n">
        <x:f>IF(COUNT(AG20,AG21)=2,AG20+AG21*'Assumptions'!E15,"n.a.")</x:f>
        <x:v>979.1666666666663</x:v>
      </x:c>
      <x:c r="AH26" s="77" t="n">
        <x:f>IF(COUNT(AH20,AH21)=2,AH20+AH21*'Assumptions'!F15,"n.a.")</x:f>
        <x:v>1062.4999999999995</x:v>
      </x:c>
      <x:c r="AI26" s="77" t="n">
        <x:f>IF(COUNT(AI20,AI21)=2,AI20+AI21*'Assumptions'!F15,"n.a.")</x:f>
        <x:v>1187.4999999999995</x:v>
      </x:c>
      <x:c r="AJ26" s="77" t="n">
        <x:f>IF(COUNT(AJ20,AJ21)=2,AJ20+AJ21*'Assumptions'!F15,"n.a.")</x:f>
        <x:v>1312.4999999999995</x:v>
      </x:c>
      <x:c r="AK26" s="77" t="n">
        <x:f>IF(COUNT(AK20,AK21)=2,AK20+AK21*'Assumptions'!F15,"n.a.")</x:f>
        <x:v>1437.4999999999995</x:v>
      </x:c>
      <x:c r="AL26" s="77" t="n">
        <x:f>IF(COUNT(AL20,AL21)=2,AL20+AL21*'Assumptions'!F15,"n.a.")</x:f>
        <x:v>1562.4999999999995</x:v>
      </x:c>
      <x:c r="AM26" s="77" t="n">
        <x:f>IF(COUNT(AM20,AM21)=2,AM20+AM21*'Assumptions'!F15,"n.a.")</x:f>
        <x:v>1687.4999999999995</x:v>
      </x:c>
      <x:c r="AN26" s="77" t="n">
        <x:f>IF(COUNT(AN20,AN21)=2,AN20+AN21*'Assumptions'!F15,"n.a.")</x:f>
        <x:v>1812.4999999999995</x:v>
      </x:c>
      <x:c r="AO26" s="77" t="n">
        <x:f>IF(COUNT(AO20,AO21)=2,AO20+AO21*'Assumptions'!F15,"n.a.")</x:f>
        <x:v>1937.4999999999995</x:v>
      </x:c>
      <x:c r="AP26" s="77" t="n">
        <x:f>IF(COUNT(AP20,AP21)=2,AP20+AP21*'Assumptions'!F15,"n.a.")</x:f>
        <x:v>2062.4999999999995</x:v>
      </x:c>
      <x:c r="AQ26" s="77" t="n">
        <x:f>IF(COUNT(AQ20,AQ21)=2,AQ20+AQ21*'Assumptions'!F15,"n.a.")</x:f>
        <x:v>2187.4999999999995</x:v>
      </x:c>
      <x:c r="AR26" s="77" t="n">
        <x:f>IF(COUNT(AR20,AR21)=2,AR20+AR21*'Assumptions'!F15,"n.a.")</x:f>
        <x:v>2312.4999999999995</x:v>
      </x:c>
      <x:c r="AS26" s="77" t="n">
        <x:f>IF(COUNT(AS20,AS21)=2,AS20+AS21*'Assumptions'!F15,"n.a.")</x:f>
        <x:v>2437.4999999999995</x:v>
      </x:c>
      <x:c r="AT26" s="77" t="n">
        <x:f>IF(COUNT(AT20,AT21)=2,AT20+AT21*'Assumptions'!G15,"n.a.")</x:f>
        <x:v>2624.9999999999995</x:v>
      </x:c>
      <x:c r="AU26" s="77" t="n">
        <x:f>IF(COUNT(AU20,AU21)=2,AU20+AU21*'Assumptions'!G15,"n.a.")</x:f>
        <x:v>2874.9999999999995</x:v>
      </x:c>
      <x:c r="AV26" s="77" t="n">
        <x:f>IF(COUNT(AV20,AV21)=2,AV20+AV21*'Assumptions'!G15,"n.a.")</x:f>
        <x:v>3124.9999999999995</x:v>
      </x:c>
      <x:c r="AW26" s="77" t="n">
        <x:f>IF(COUNT(AW20,AW21)=2,AW20+AW21*'Assumptions'!G15,"n.a.")</x:f>
        <x:v>3374.9999999999995</x:v>
      </x:c>
      <x:c r="AX26" s="77" t="n">
        <x:f>IF(COUNT(AX20,AX21)=2,AX20+AX21*'Assumptions'!G15,"n.a.")</x:f>
        <x:v>3624.9999999999995</x:v>
      </x:c>
      <x:c r="AY26" s="77" t="n">
        <x:f>IF(COUNT(AY20,AY21)=2,AY20+AY21*'Assumptions'!G15,"n.a.")</x:f>
        <x:v>3874.9999999999995</x:v>
      </x:c>
      <x:c r="AZ26" s="77" t="n">
        <x:f>IF(COUNT(AZ20,AZ21)=2,AZ20+AZ21*'Assumptions'!G15,"n.a.")</x:f>
        <x:v>4125</x:v>
      </x:c>
      <x:c r="BA26" s="77" t="n">
        <x:f>IF(COUNT(BA20,BA21)=2,BA20+BA21*'Assumptions'!G15,"n.a.")</x:f>
        <x:v>4375</x:v>
      </x:c>
      <x:c r="BB26" s="77" t="n">
        <x:f>IF(COUNT(BB20,BB21)=2,BB20+BB21*'Assumptions'!G15,"n.a.")</x:f>
        <x:v>4625</x:v>
      </x:c>
      <x:c r="BC26" s="77" t="n">
        <x:f>IF(COUNT(BC20,BC21)=2,BC20+BC21*'Assumptions'!G15,"n.a.")</x:f>
        <x:v>4875</x:v>
      </x:c>
      <x:c r="BD26" s="77" t="n">
        <x:f>IF(COUNT(BD20,BD21)=2,BD20+BD21*'Assumptions'!G15,"n.a.")</x:f>
        <x:v>5125</x:v>
      </x:c>
      <x:c r="BE26" s="77" t="n">
        <x:f>IF(COUNT(BE20,BE21)=2,BE20+BE21*'Assumptions'!G15,"n.a.")</x:f>
        <x:v>5375</x:v>
      </x:c>
      <x:c r="BF26" s="77" t="n">
        <x:f>IF(COUNT(BF20,BF21)=2,BF20+BF21*'Assumptions'!H15,"n.a.")</x:f>
        <x:v>5687.5</x:v>
      </x:c>
      <x:c r="BG26" s="77" t="n">
        <x:f>IF(COUNT(BG20,BG21)=2,BG20+BG21*'Assumptions'!H15,"n.a.")</x:f>
        <x:v>6062.5</x:v>
      </x:c>
      <x:c r="BH26" s="77" t="n">
        <x:f>IF(COUNT(BH20,BH21)=2,BH20+BH21*'Assumptions'!H15,"n.a.")</x:f>
        <x:v>6437.5</x:v>
      </x:c>
      <x:c r="BI26" s="77" t="n">
        <x:f>IF(COUNT(BI20,BI21)=2,BI20+BI21*'Assumptions'!H15,"n.a.")</x:f>
        <x:v>6812.5</x:v>
      </x:c>
      <x:c r="BJ26" s="77" t="n">
        <x:f>IF(COUNT(BJ20,BJ21)=2,BJ20+BJ21*'Assumptions'!H15,"n.a.")</x:f>
        <x:v>7187.5</x:v>
      </x:c>
      <x:c r="BK26" s="77" t="n">
        <x:f>IF(COUNT(BK20,BK21)=2,BK20+BK21*'Assumptions'!H15,"n.a.")</x:f>
        <x:v>7562.5</x:v>
      </x:c>
      <x:c r="BL26" s="77" t="n">
        <x:f>IF(COUNT(BL20,BL21)=2,BL20+BL21*'Assumptions'!H15,"n.a.")</x:f>
        <x:v>7937.5</x:v>
      </x:c>
      <x:c r="BM26" s="77" t="n">
        <x:f>IF(COUNT(BM20,BM21)=2,BM20+BM21*'Assumptions'!H15,"n.a.")</x:f>
        <x:v>8312.5</x:v>
      </x:c>
      <x:c r="BN26" s="77" t="n">
        <x:f>IF(COUNT(BN20,BN21)=2,BN20+BN21*'Assumptions'!H15,"n.a.")</x:f>
        <x:v>8687.5</x:v>
      </x:c>
      <x:c r="BO26" s="77" t="n">
        <x:f>IF(COUNT(BO20,BO21)=2,BO20+BO21*'Assumptions'!H15,"n.a.")</x:f>
        <x:v>9062.5</x:v>
      </x:c>
      <x:c r="BP26" s="77" t="n">
        <x:f>IF(COUNT(BP20,BP21)=2,BP20+BP21*'Assumptions'!H15,"n.a.")</x:f>
        <x:v>9437.5</x:v>
      </x:c>
      <x:c r="BQ26" s="77" t="n">
        <x:f>IF(COUNT(BQ20,BQ21)=2,BQ20+BQ21*'Assumptions'!H15,"n.a.")</x:f>
        <x:v>9812.5</x:v>
      </x:c>
    </x:row>
    <x:row r="27" ht="23" customHeight="1">
      <x:c r="A27" s="2"/>
      <x:c r="B27" s="2"/>
      <x:c r="C27" s="2" t="str">
        <x:v>Strategy price ($/month)</x:v>
      </x:c>
      <x:c r="D27" s="69" t="n">
        <x:f>IF(COUNT(J27:U27)=12,AVERAGE(J27:U27),"n.a.")</x:f>
        <x:v>500</x:v>
      </x:c>
      <x:c r="E27" s="69" t="n">
        <x:f>IF(COUNT(V27:AG27)=12,AVERAGE(V27:AG27),"n.a.")</x:f>
        <x:v>800</x:v>
      </x:c>
      <x:c r="F27" s="69" t="n">
        <x:f>IF(COUNT(AH27:AS27)=12,AVERAGE(AH27:AS27),"n.a.")</x:f>
        <x:v>1000</x:v>
      </x:c>
      <x:c r="G27" s="69" t="n">
        <x:f>IF(COUNT(AT27:BE27)=12,AVERAGE(AT27:BE27),"n.a.")</x:f>
        <x:v>1000</x:v>
      </x:c>
      <x:c r="H27" s="69" t="n">
        <x:f>IF(COUNT(BF27:BQ27)=12,AVERAGE(BF27:BQ27),"n.a.")</x:f>
        <x:v>1000</x:v>
      </x:c>
      <x:c r="I27" s="39" t="n">
        <x:f>IF(ISNUMBER('Assumptions'!D10),'Assumptions'!D10,"n.a.")</x:f>
        <x:v>500</x:v>
      </x:c>
      <x:c r="J27" s="39" t="n">
        <x:f>IF(ISNUMBER('Assumptions'!D10),'Assumptions'!D10,"n.a.")</x:f>
        <x:v>500</x:v>
      </x:c>
      <x:c r="K27" s="39" t="n">
        <x:f>IF(ISNUMBER('Assumptions'!D10),'Assumptions'!D10,"n.a.")</x:f>
        <x:v>500</x:v>
      </x:c>
      <x:c r="L27" s="39" t="n">
        <x:f>IF(ISNUMBER('Assumptions'!D10),'Assumptions'!D10,"n.a.")</x:f>
        <x:v>500</x:v>
      </x:c>
      <x:c r="M27" s="39" t="n">
        <x:f>IF(ISNUMBER('Assumptions'!D10),'Assumptions'!D10,"n.a.")</x:f>
        <x:v>500</x:v>
      </x:c>
      <x:c r="N27" s="39" t="n">
        <x:f>IF(ISNUMBER('Assumptions'!D10),'Assumptions'!D10,"n.a.")</x:f>
        <x:v>500</x:v>
      </x:c>
      <x:c r="O27" s="39" t="n">
        <x:f>IF(ISNUMBER('Assumptions'!D10),'Assumptions'!D10,"n.a.")</x:f>
        <x:v>500</x:v>
      </x:c>
      <x:c r="P27" s="39" t="n">
        <x:f>IF(ISNUMBER('Assumptions'!D10),'Assumptions'!D10,"n.a.")</x:f>
        <x:v>500</x:v>
      </x:c>
      <x:c r="Q27" s="39" t="n">
        <x:f>IF(ISNUMBER('Assumptions'!D10),'Assumptions'!D10,"n.a.")</x:f>
        <x:v>500</x:v>
      </x:c>
      <x:c r="R27" s="39" t="n">
        <x:f>IF(ISNUMBER('Assumptions'!D10),'Assumptions'!D10,"n.a.")</x:f>
        <x:v>500</x:v>
      </x:c>
      <x:c r="S27" s="39" t="n">
        <x:f>IF(ISNUMBER('Assumptions'!D10),'Assumptions'!D10,"n.a.")</x:f>
        <x:v>500</x:v>
      </x:c>
      <x:c r="T27" s="39" t="n">
        <x:f>IF(ISNUMBER('Assumptions'!D10),'Assumptions'!D10,"n.a.")</x:f>
        <x:v>500</x:v>
      </x:c>
      <x:c r="U27" s="39" t="n">
        <x:f>IF(ISNUMBER('Assumptions'!D10),'Assumptions'!D10,"n.a.")</x:f>
        <x:v>500</x:v>
      </x:c>
      <x:c r="V27" s="39" t="n">
        <x:f>IF(ISNUMBER('Assumptions'!E10),'Assumptions'!E10,"n.a.")</x:f>
        <x:v>800</x:v>
      </x:c>
      <x:c r="W27" s="39" t="n">
        <x:f>IF(ISNUMBER('Assumptions'!E10),'Assumptions'!E10,"n.a.")</x:f>
        <x:v>800</x:v>
      </x:c>
      <x:c r="X27" s="39" t="n">
        <x:f>IF(ISNUMBER('Assumptions'!E10),'Assumptions'!E10,"n.a.")</x:f>
        <x:v>800</x:v>
      </x:c>
      <x:c r="Y27" s="39" t="n">
        <x:f>IF(ISNUMBER('Assumptions'!E10),'Assumptions'!E10,"n.a.")</x:f>
        <x:v>800</x:v>
      </x:c>
      <x:c r="Z27" s="39" t="n">
        <x:f>IF(ISNUMBER('Assumptions'!E10),'Assumptions'!E10,"n.a.")</x:f>
        <x:v>800</x:v>
      </x:c>
      <x:c r="AA27" s="39" t="n">
        <x:f>IF(ISNUMBER('Assumptions'!E10),'Assumptions'!E10,"n.a.")</x:f>
        <x:v>800</x:v>
      </x:c>
      <x:c r="AB27" s="39" t="n">
        <x:f>IF(ISNUMBER('Assumptions'!E10),'Assumptions'!E10,"n.a.")</x:f>
        <x:v>800</x:v>
      </x:c>
      <x:c r="AC27" s="39" t="n">
        <x:f>IF(ISNUMBER('Assumptions'!E10),'Assumptions'!E10,"n.a.")</x:f>
        <x:v>800</x:v>
      </x:c>
      <x:c r="AD27" s="39" t="n">
        <x:f>IF(ISNUMBER('Assumptions'!E10),'Assumptions'!E10,"n.a.")</x:f>
        <x:v>800</x:v>
      </x:c>
      <x:c r="AE27" s="39" t="n">
        <x:f>IF(ISNUMBER('Assumptions'!E10),'Assumptions'!E10,"n.a.")</x:f>
        <x:v>800</x:v>
      </x:c>
      <x:c r="AF27" s="39" t="n">
        <x:f>IF(ISNUMBER('Assumptions'!E10),'Assumptions'!E10,"n.a.")</x:f>
        <x:v>800</x:v>
      </x:c>
      <x:c r="AG27" s="39" t="n">
        <x:f>IF(ISNUMBER('Assumptions'!E10),'Assumptions'!E10,"n.a.")</x:f>
        <x:v>800</x:v>
      </x:c>
      <x:c r="AH27" s="39" t="n">
        <x:f>IF(ISNUMBER('Assumptions'!F10),'Assumptions'!F10,"n.a.")</x:f>
        <x:v>1000</x:v>
      </x:c>
      <x:c r="AI27" s="39" t="n">
        <x:f>IF(ISNUMBER('Assumptions'!F10),'Assumptions'!F10,"n.a.")</x:f>
        <x:v>1000</x:v>
      </x:c>
      <x:c r="AJ27" s="39" t="n">
        <x:f>IF(ISNUMBER('Assumptions'!F10),'Assumptions'!F10,"n.a.")</x:f>
        <x:v>1000</x:v>
      </x:c>
      <x:c r="AK27" s="39" t="n">
        <x:f>IF(ISNUMBER('Assumptions'!F10),'Assumptions'!F10,"n.a.")</x:f>
        <x:v>1000</x:v>
      </x:c>
      <x:c r="AL27" s="39" t="n">
        <x:f>IF(ISNUMBER('Assumptions'!F10),'Assumptions'!F10,"n.a.")</x:f>
        <x:v>1000</x:v>
      </x:c>
      <x:c r="AM27" s="39" t="n">
        <x:f>IF(ISNUMBER('Assumptions'!F10),'Assumptions'!F10,"n.a.")</x:f>
        <x:v>1000</x:v>
      </x:c>
      <x:c r="AN27" s="39" t="n">
        <x:f>IF(ISNUMBER('Assumptions'!F10),'Assumptions'!F10,"n.a.")</x:f>
        <x:v>1000</x:v>
      </x:c>
      <x:c r="AO27" s="39" t="n">
        <x:f>IF(ISNUMBER('Assumptions'!F10),'Assumptions'!F10,"n.a.")</x:f>
        <x:v>1000</x:v>
      </x:c>
      <x:c r="AP27" s="39" t="n">
        <x:f>IF(ISNUMBER('Assumptions'!F10),'Assumptions'!F10,"n.a.")</x:f>
        <x:v>1000</x:v>
      </x:c>
      <x:c r="AQ27" s="39" t="n">
        <x:f>IF(ISNUMBER('Assumptions'!F10),'Assumptions'!F10,"n.a.")</x:f>
        <x:v>1000</x:v>
      </x:c>
      <x:c r="AR27" s="39" t="n">
        <x:f>IF(ISNUMBER('Assumptions'!F10),'Assumptions'!F10,"n.a.")</x:f>
        <x:v>1000</x:v>
      </x:c>
      <x:c r="AS27" s="39" t="n">
        <x:f>IF(ISNUMBER('Assumptions'!F10),'Assumptions'!F10,"n.a.")</x:f>
        <x:v>1000</x:v>
      </x:c>
      <x:c r="AT27" s="39" t="n">
        <x:f>IF(ISNUMBER('Assumptions'!G10),'Assumptions'!G10,"n.a.")</x:f>
        <x:v>1000</x:v>
      </x:c>
      <x:c r="AU27" s="39" t="n">
        <x:f>IF(ISNUMBER('Assumptions'!G10),'Assumptions'!G10,"n.a.")</x:f>
        <x:v>1000</x:v>
      </x:c>
      <x:c r="AV27" s="39" t="n">
        <x:f>IF(ISNUMBER('Assumptions'!G10),'Assumptions'!G10,"n.a.")</x:f>
        <x:v>1000</x:v>
      </x:c>
      <x:c r="AW27" s="39" t="n">
        <x:f>IF(ISNUMBER('Assumptions'!G10),'Assumptions'!G10,"n.a.")</x:f>
        <x:v>1000</x:v>
      </x:c>
      <x:c r="AX27" s="39" t="n">
        <x:f>IF(ISNUMBER('Assumptions'!G10),'Assumptions'!G10,"n.a.")</x:f>
        <x:v>1000</x:v>
      </x:c>
      <x:c r="AY27" s="39" t="n">
        <x:f>IF(ISNUMBER('Assumptions'!G10),'Assumptions'!G10,"n.a.")</x:f>
        <x:v>1000</x:v>
      </x:c>
      <x:c r="AZ27" s="39" t="n">
        <x:f>IF(ISNUMBER('Assumptions'!G10),'Assumptions'!G10,"n.a.")</x:f>
        <x:v>1000</x:v>
      </x:c>
      <x:c r="BA27" s="39" t="n">
        <x:f>IF(ISNUMBER('Assumptions'!G10),'Assumptions'!G10,"n.a.")</x:f>
        <x:v>1000</x:v>
      </x:c>
      <x:c r="BB27" s="39" t="n">
        <x:f>IF(ISNUMBER('Assumptions'!G10),'Assumptions'!G10,"n.a.")</x:f>
        <x:v>1000</x:v>
      </x:c>
      <x:c r="BC27" s="39" t="n">
        <x:f>IF(ISNUMBER('Assumptions'!G10),'Assumptions'!G10,"n.a.")</x:f>
        <x:v>1000</x:v>
      </x:c>
      <x:c r="BD27" s="39" t="n">
        <x:f>IF(ISNUMBER('Assumptions'!G10),'Assumptions'!G10,"n.a.")</x:f>
        <x:v>1000</x:v>
      </x:c>
      <x:c r="BE27" s="39" t="n">
        <x:f>IF(ISNUMBER('Assumptions'!G10),'Assumptions'!G10,"n.a.")</x:f>
        <x:v>1000</x:v>
      </x:c>
      <x:c r="BF27" s="39" t="n">
        <x:f>IF(ISNUMBER('Assumptions'!H10),'Assumptions'!H10,"n.a.")</x:f>
        <x:v>1000</x:v>
      </x:c>
      <x:c r="BG27" s="39" t="n">
        <x:f>IF(ISNUMBER('Assumptions'!H10),'Assumptions'!H10,"n.a.")</x:f>
        <x:v>1000</x:v>
      </x:c>
      <x:c r="BH27" s="39" t="n">
        <x:f>IF(ISNUMBER('Assumptions'!H10),'Assumptions'!H10,"n.a.")</x:f>
        <x:v>1000</x:v>
      </x:c>
      <x:c r="BI27" s="39" t="n">
        <x:f>IF(ISNUMBER('Assumptions'!H10),'Assumptions'!H10,"n.a.")</x:f>
        <x:v>1000</x:v>
      </x:c>
      <x:c r="BJ27" s="39" t="n">
        <x:f>IF(ISNUMBER('Assumptions'!H10),'Assumptions'!H10,"n.a.")</x:f>
        <x:v>1000</x:v>
      </x:c>
      <x:c r="BK27" s="39" t="n">
        <x:f>IF(ISNUMBER('Assumptions'!H10),'Assumptions'!H10,"n.a.")</x:f>
        <x:v>1000</x:v>
      </x:c>
      <x:c r="BL27" s="39" t="n">
        <x:f>IF(ISNUMBER('Assumptions'!H10),'Assumptions'!H10,"n.a.")</x:f>
        <x:v>1000</x:v>
      </x:c>
      <x:c r="BM27" s="39" t="n">
        <x:f>IF(ISNUMBER('Assumptions'!H10),'Assumptions'!H10,"n.a.")</x:f>
        <x:v>1000</x:v>
      </x:c>
      <x:c r="BN27" s="39" t="n">
        <x:f>IF(ISNUMBER('Assumptions'!H10),'Assumptions'!H10,"n.a.")</x:f>
        <x:v>1000</x:v>
      </x:c>
      <x:c r="BO27" s="39" t="n">
        <x:f>IF(ISNUMBER('Assumptions'!H10),'Assumptions'!H10,"n.a.")</x:f>
        <x:v>1000</x:v>
      </x:c>
      <x:c r="BP27" s="39" t="n">
        <x:f>IF(ISNUMBER('Assumptions'!H10),'Assumptions'!H10,"n.a.")</x:f>
        <x:v>1000</x:v>
      </x:c>
      <x:c r="BQ27" s="39" t="n">
        <x:f>IF(ISNUMBER('Assumptions'!H10),'Assumptions'!H10,"n.a.")</x:f>
        <x:v>1000</x:v>
      </x:c>
    </x:row>
    <x:row r="28" ht="25" customHeight="1">
      <x:c r="A28" s="2"/>
      <x:c r="B28" s="2"/>
      <x:c r="C28" s="84" t="str">
        <x:v>Strategy revenue earned in period</x:v>
      </x:c>
      <x:c r="D28" s="85" t="n">
        <x:f>IF(COUNT(J28:U28)=12,SUM(J28:U28),"n.a.")</x:f>
        <x:v>3000000</x:v>
      </x:c>
      <x:c r="E28" s="85" t="n">
        <x:f>IF(COUNT(V28:AG28)=12,SUM(V28:AG28),"n.a.")</x:f>
        <x:v>7199999.999999998</x:v>
      </x:c>
      <x:c r="F28" s="85" t="n">
        <x:f>IF(COUNT(AH28:AS28)=12,SUM(AH28:AS28),"n.a.")</x:f>
        <x:v>20999999.999999996</x:v>
      </x:c>
      <x:c r="G28" s="85" t="n">
        <x:f>IF(COUNT(AT28:BE28)=12,SUM(AT28:BE28),"n.a.")</x:f>
        <x:v>48000000</x:v>
      </x:c>
      <x:c r="H28" s="85" t="n">
        <x:f>IF(COUNT(BF28:BQ28)=12,SUM(BF28:BQ28),"n.a.")</x:f>
        <x:v>93000000</x:v>
      </x:c>
      <x:c r="I28" s="85" t="n">
        <x:f>IF(COUNT(I26:I27)=2,I26*I27,"n.a.")</x:f>
        <x:v>125000</x:v>
      </x:c>
      <x:c r="J28" s="85" t="n">
        <x:f>IF(COUNT(J26,J27)=2,J26*J27,"n.a.")</x:f>
        <x:v>250000</x:v>
      </x:c>
      <x:c r="K28" s="85" t="n">
        <x:f>IF(COUNT(K26,K27)=2,K26*K27,"n.a.")</x:f>
        <x:v>250000</x:v>
      </x:c>
      <x:c r="L28" s="85" t="n">
        <x:f>IF(COUNT(L26,L27)=2,L26*L27,"n.a.")</x:f>
        <x:v>250000</x:v>
      </x:c>
      <x:c r="M28" s="85" t="n">
        <x:f>IF(COUNT(M26,M27)=2,M26*M27,"n.a.")</x:f>
        <x:v>250000</x:v>
      </x:c>
      <x:c r="N28" s="85" t="n">
        <x:f>IF(COUNT(N26,N27)=2,N26*N27,"n.a.")</x:f>
        <x:v>250000</x:v>
      </x:c>
      <x:c r="O28" s="85" t="n">
        <x:f>IF(COUNT(O26,O27)=2,O26*O27,"n.a.")</x:f>
        <x:v>250000</x:v>
      </x:c>
      <x:c r="P28" s="85" t="n">
        <x:f>IF(COUNT(P26,P27)=2,P26*P27,"n.a.")</x:f>
        <x:v>250000</x:v>
      </x:c>
      <x:c r="Q28" s="85" t="n">
        <x:f>IF(COUNT(Q26,Q27)=2,Q26*Q27,"n.a.")</x:f>
        <x:v>250000</x:v>
      </x:c>
      <x:c r="R28" s="85" t="n">
        <x:f>IF(COUNT(R26,R27)=2,R26*R27,"n.a.")</x:f>
        <x:v>250000</x:v>
      </x:c>
      <x:c r="S28" s="85" t="n">
        <x:f>IF(COUNT(S26,S27)=2,S26*S27,"n.a.")</x:f>
        <x:v>250000</x:v>
      </x:c>
      <x:c r="T28" s="85" t="n">
        <x:f>IF(COUNT(T26,T27)=2,T26*T27,"n.a.")</x:f>
        <x:v>250000</x:v>
      </x:c>
      <x:c r="U28" s="85" t="n">
        <x:f>IF(COUNT(U26,U27)=2,U26*U27,"n.a.")</x:f>
        <x:v>250000</x:v>
      </x:c>
      <x:c r="V28" s="85" t="n">
        <x:f>IF(COUNT(V26,V27)=2,V26*V27,"n.a.")</x:f>
        <x:v>416666.6666666667</x:v>
      </x:c>
      <x:c r="W28" s="85" t="n">
        <x:f>IF(COUNT(W26,W27)=2,W26*W27,"n.a.")</x:f>
        <x:v>450000</x:v>
      </x:c>
      <x:c r="X28" s="85" t="n">
        <x:f>IF(COUNT(X26,X27)=2,X26*X27,"n.a.")</x:f>
        <x:v>483333.3333333333</x:v>
      </x:c>
      <x:c r="Y28" s="85" t="n">
        <x:f>IF(COUNT(Y26,Y27)=2,Y26*Y27,"n.a.")</x:f>
        <x:v>516666.6666666666</x:v>
      </x:c>
      <x:c r="Z28" s="85" t="n">
        <x:f>IF(COUNT(Z26,Z27)=2,Z26*Z27,"n.a.")</x:f>
        <x:v>549999.9999999999</x:v>
      </x:c>
      <x:c r="AA28" s="85" t="n">
        <x:f>IF(COUNT(AA26,AA27)=2,AA26*AA27,"n.a.")</x:f>
        <x:v>583333.3333333333</x:v>
      </x:c>
      <x:c r="AB28" s="85" t="n">
        <x:f>IF(COUNT(AB26,AB27)=2,AB26*AB27,"n.a.")</x:f>
        <x:v>616666.6666666665</x:v>
      </x:c>
      <x:c r="AC28" s="85" t="n">
        <x:f>IF(COUNT(AC26,AC27)=2,AC26*AC27,"n.a.")</x:f>
        <x:v>649999.9999999998</x:v>
      </x:c>
      <x:c r="AD28" s="85" t="n">
        <x:f>IF(COUNT(AD26,AD27)=2,AD26*AD27,"n.a.")</x:f>
        <x:v>683333.3333333331</x:v>
      </x:c>
      <x:c r="AE28" s="85" t="n">
        <x:f>IF(COUNT(AE26,AE27)=2,AE26*AE27,"n.a.")</x:f>
        <x:v>716666.6666666664</x:v>
      </x:c>
      <x:c r="AF28" s="85" t="n">
        <x:f>IF(COUNT(AF26,AF27)=2,AF26*AF27,"n.a.")</x:f>
        <x:v>749999.9999999998</x:v>
      </x:c>
      <x:c r="AG28" s="85" t="n">
        <x:f>IF(COUNT(AG26,AG27)=2,AG26*AG27,"n.a.")</x:f>
        <x:v>783333.333333333</x:v>
      </x:c>
      <x:c r="AH28" s="85" t="n">
        <x:f>IF(COUNT(AH26,AH27)=2,AH26*AH27,"n.a.")</x:f>
        <x:v>1062499.9999999995</x:v>
      </x:c>
      <x:c r="AI28" s="85" t="n">
        <x:f>IF(COUNT(AI26,AI27)=2,AI26*AI27,"n.a.")</x:f>
        <x:v>1187499.9999999995</x:v>
      </x:c>
      <x:c r="AJ28" s="85" t="n">
        <x:f>IF(COUNT(AJ26,AJ27)=2,AJ26*AJ27,"n.a.")</x:f>
        <x:v>1312499.9999999995</x:v>
      </x:c>
      <x:c r="AK28" s="85" t="n">
        <x:f>IF(COUNT(AK26,AK27)=2,AK26*AK27,"n.a.")</x:f>
        <x:v>1437499.9999999995</x:v>
      </x:c>
      <x:c r="AL28" s="85" t="n">
        <x:f>IF(COUNT(AL26,AL27)=2,AL26*AL27,"n.a.")</x:f>
        <x:v>1562499.9999999995</x:v>
      </x:c>
      <x:c r="AM28" s="85" t="n">
        <x:f>IF(COUNT(AM26,AM27)=2,AM26*AM27,"n.a.")</x:f>
        <x:v>1687499.9999999995</x:v>
      </x:c>
      <x:c r="AN28" s="85" t="n">
        <x:f>IF(COUNT(AN26,AN27)=2,AN26*AN27,"n.a.")</x:f>
        <x:v>1812499.9999999995</x:v>
      </x:c>
      <x:c r="AO28" s="85" t="n">
        <x:f>IF(COUNT(AO26,AO27)=2,AO26*AO27,"n.a.")</x:f>
        <x:v>1937499.9999999995</x:v>
      </x:c>
      <x:c r="AP28" s="85" t="n">
        <x:f>IF(COUNT(AP26,AP27)=2,AP26*AP27,"n.a.")</x:f>
        <x:v>2062499.9999999995</x:v>
      </x:c>
      <x:c r="AQ28" s="85" t="n">
        <x:f>IF(COUNT(AQ26,AQ27)=2,AQ26*AQ27,"n.a.")</x:f>
        <x:v>2187499.9999999995</x:v>
      </x:c>
      <x:c r="AR28" s="85" t="n">
        <x:f>IF(COUNT(AR26,AR27)=2,AR26*AR27,"n.a.")</x:f>
        <x:v>2312499.9999999995</x:v>
      </x:c>
      <x:c r="AS28" s="85" t="n">
        <x:f>IF(COUNT(AS26,AS27)=2,AS26*AS27,"n.a.")</x:f>
        <x:v>2437499.9999999995</x:v>
      </x:c>
      <x:c r="AT28" s="85" t="n">
        <x:f>IF(COUNT(AT26,AT27)=2,AT26*AT27,"n.a.")</x:f>
        <x:v>2624999.9999999995</x:v>
      </x:c>
      <x:c r="AU28" s="85" t="n">
        <x:f>IF(COUNT(AU26,AU27)=2,AU26*AU27,"n.a.")</x:f>
        <x:v>2874999.9999999995</x:v>
      </x:c>
      <x:c r="AV28" s="85" t="n">
        <x:f>IF(COUNT(AV26,AV27)=2,AV26*AV27,"n.a.")</x:f>
        <x:v>3124999.9999999995</x:v>
      </x:c>
      <x:c r="AW28" s="85" t="n">
        <x:f>IF(COUNT(AW26,AW27)=2,AW26*AW27,"n.a.")</x:f>
        <x:v>3374999.9999999995</x:v>
      </x:c>
      <x:c r="AX28" s="85" t="n">
        <x:f>IF(COUNT(AX26,AX27)=2,AX26*AX27,"n.a.")</x:f>
        <x:v>3624999.9999999995</x:v>
      </x:c>
      <x:c r="AY28" s="85" t="n">
        <x:f>IF(COUNT(AY26,AY27)=2,AY26*AY27,"n.a.")</x:f>
        <x:v>3874999.9999999995</x:v>
      </x:c>
      <x:c r="AZ28" s="85" t="n">
        <x:f>IF(COUNT(AZ26,AZ27)=2,AZ26*AZ27,"n.a.")</x:f>
        <x:v>4125000</x:v>
      </x:c>
      <x:c r="BA28" s="85" t="n">
        <x:f>IF(COUNT(BA26,BA27)=2,BA26*BA27,"n.a.")</x:f>
        <x:v>4375000</x:v>
      </x:c>
      <x:c r="BB28" s="85" t="n">
        <x:f>IF(COUNT(BB26,BB27)=2,BB26*BB27,"n.a.")</x:f>
        <x:v>4625000</x:v>
      </x:c>
      <x:c r="BC28" s="85" t="n">
        <x:f>IF(COUNT(BC26,BC27)=2,BC26*BC27,"n.a.")</x:f>
        <x:v>4875000</x:v>
      </x:c>
      <x:c r="BD28" s="85" t="n">
        <x:f>IF(COUNT(BD26,BD27)=2,BD26*BD27,"n.a.")</x:f>
        <x:v>5125000</x:v>
      </x:c>
      <x:c r="BE28" s="85" t="n">
        <x:f>IF(COUNT(BE26,BE27)=2,BE26*BE27,"n.a.")</x:f>
        <x:v>5375000</x:v>
      </x:c>
      <x:c r="BF28" s="85" t="n">
        <x:f>IF(COUNT(BF26,BF27)=2,BF26*BF27,"n.a.")</x:f>
        <x:v>5687500</x:v>
      </x:c>
      <x:c r="BG28" s="85" t="n">
        <x:f>IF(COUNT(BG26,BG27)=2,BG26*BG27,"n.a.")</x:f>
        <x:v>6062500</x:v>
      </x:c>
      <x:c r="BH28" s="85" t="n">
        <x:f>IF(COUNT(BH26,BH27)=2,BH26*BH27,"n.a.")</x:f>
        <x:v>6437500</x:v>
      </x:c>
      <x:c r="BI28" s="85" t="n">
        <x:f>IF(COUNT(BI26,BI27)=2,BI26*BI27,"n.a.")</x:f>
        <x:v>6812500</x:v>
      </x:c>
      <x:c r="BJ28" s="85" t="n">
        <x:f>IF(COUNT(BJ26,BJ27)=2,BJ26*BJ27,"n.a.")</x:f>
        <x:v>7187500</x:v>
      </x:c>
      <x:c r="BK28" s="85" t="n">
        <x:f>IF(COUNT(BK26,BK27)=2,BK26*BK27,"n.a.")</x:f>
        <x:v>7562500</x:v>
      </x:c>
      <x:c r="BL28" s="85" t="n">
        <x:f>IF(COUNT(BL26,BL27)=2,BL26*BL27,"n.a.")</x:f>
        <x:v>7937500</x:v>
      </x:c>
      <x:c r="BM28" s="85" t="n">
        <x:f>IF(COUNT(BM26,BM27)=2,BM26*BM27,"n.a.")</x:f>
        <x:v>8312500</x:v>
      </x:c>
      <x:c r="BN28" s="85" t="n">
        <x:f>IF(COUNT(BN26,BN27)=2,BN26*BN27,"n.a.")</x:f>
        <x:v>8687500</x:v>
      </x:c>
      <x:c r="BO28" s="85" t="n">
        <x:f>IF(COUNT(BO26,BO27)=2,BO26*BO27,"n.a.")</x:f>
        <x:v>9062500</x:v>
      </x:c>
      <x:c r="BP28" s="85" t="n">
        <x:f>IF(COUNT(BP26,BP27)=2,BP26*BP27,"n.a.")</x:f>
        <x:v>9437500</x:v>
      </x:c>
      <x:c r="BQ28" s="85" t="n">
        <x:f>IF(COUNT(BQ26,BQ27)=2,BQ26*BQ27,"n.a.")</x:f>
        <x:v>9812500</x:v>
      </x:c>
    </x:row>
    <x:row r="29" ht="25" customHeight="1">
      <x:c r="A29" s="2"/>
      <x:c r="B29" s="2"/>
      <x:c r="C29" s="84" t="str">
        <x:v>Strategy exit annualized revenue</x:v>
      </x:c>
      <x:c r="D29" s="85" t="n">
        <x:f>U29</x:f>
        <x:v>3000000</x:v>
      </x:c>
      <x:c r="E29" s="85" t="n">
        <x:f>AG29</x:f>
        <x:v>9599999.999999996</x:v>
      </x:c>
      <x:c r="F29" s="85" t="n">
        <x:f>AS29</x:f>
        <x:v>29999999.999999993</x:v>
      </x:c>
      <x:c r="G29" s="85" t="n">
        <x:f>BE29</x:f>
        <x:v>66000000</x:v>
      </x:c>
      <x:c r="H29" s="85" t="n">
        <x:f>BQ29</x:f>
        <x:v>120000000</x:v>
      </x:c>
      <x:c r="I29" s="85" t="n">
        <x:f>IF(COUNT(I25,I27)=2,I25*I27*12,"n.a.")</x:f>
        <x:v>3000000</x:v>
      </x:c>
      <x:c r="J29" s="85" t="n">
        <x:f>IF(COUNT(J25,J27)=2,J25*J27*12,"n.a.")</x:f>
        <x:v>3000000</x:v>
      </x:c>
      <x:c r="K29" s="85" t="n">
        <x:f>IF(COUNT(K25,K27)=2,K25*K27*12,"n.a.")</x:f>
        <x:v>3000000</x:v>
      </x:c>
      <x:c r="L29" s="85" t="n">
        <x:f>IF(COUNT(L25,L27)=2,L25*L27*12,"n.a.")</x:f>
        <x:v>3000000</x:v>
      </x:c>
      <x:c r="M29" s="85" t="n">
        <x:f>IF(COUNT(M25,M27)=2,M25*M27*12,"n.a.")</x:f>
        <x:v>3000000</x:v>
      </x:c>
      <x:c r="N29" s="85" t="n">
        <x:f>IF(COUNT(N25,N27)=2,N25*N27*12,"n.a.")</x:f>
        <x:v>3000000</x:v>
      </x:c>
      <x:c r="O29" s="85" t="n">
        <x:f>IF(COUNT(O25,O27)=2,O25*O27*12,"n.a.")</x:f>
        <x:v>3000000</x:v>
      </x:c>
      <x:c r="P29" s="85" t="n">
        <x:f>IF(COUNT(P25,P27)=2,P25*P27*12,"n.a.")</x:f>
        <x:v>3000000</x:v>
      </x:c>
      <x:c r="Q29" s="85" t="n">
        <x:f>IF(COUNT(Q25,Q27)=2,Q25*Q27*12,"n.a.")</x:f>
        <x:v>3000000</x:v>
      </x:c>
      <x:c r="R29" s="85" t="n">
        <x:f>IF(COUNT(R25,R27)=2,R25*R27*12,"n.a.")</x:f>
        <x:v>3000000</x:v>
      </x:c>
      <x:c r="S29" s="85" t="n">
        <x:f>IF(COUNT(S25,S27)=2,S25*S27*12,"n.a.")</x:f>
        <x:v>3000000</x:v>
      </x:c>
      <x:c r="T29" s="85" t="n">
        <x:f>IF(COUNT(T25,T27)=2,T25*T27*12,"n.a.")</x:f>
        <x:v>3000000</x:v>
      </x:c>
      <x:c r="U29" s="85" t="n">
        <x:f>IF(COUNT(U25,U27)=2,U25*U27*12,"n.a.")</x:f>
        <x:v>3000000</x:v>
      </x:c>
      <x:c r="V29" s="85" t="n">
        <x:f>IF(COUNT(V25,V27)=2,V25*V27*12,"n.a.")</x:f>
        <x:v>5200000</x:v>
      </x:c>
      <x:c r="W29" s="85" t="n">
        <x:f>IF(COUNT(W25,W27)=2,W25*W27*12,"n.a.")</x:f>
        <x:v>5600000</x:v>
      </x:c>
      <x:c r="X29" s="85" t="n">
        <x:f>IF(COUNT(X25,X27)=2,X25*X27*12,"n.a.")</x:f>
        <x:v>5999999.999999998</x:v>
      </x:c>
      <x:c r="Y29" s="85" t="n">
        <x:f>IF(COUNT(Y25,Y27)=2,Y25*Y27*12,"n.a.")</x:f>
        <x:v>6399999.999999999</x:v>
      </x:c>
      <x:c r="Z29" s="85" t="n">
        <x:f>IF(COUNT(Z25,Z27)=2,Z25*Z27*12,"n.a.")</x:f>
        <x:v>6799999.999999998</x:v>
      </x:c>
      <x:c r="AA29" s="85" t="n">
        <x:f>IF(COUNT(AA25,AA27)=2,AA25*AA27*12,"n.a.")</x:f>
        <x:v>7199999.999999997</x:v>
      </x:c>
      <x:c r="AB29" s="85" t="n">
        <x:f>IF(COUNT(AB25,AB27)=2,AB25*AB27*12,"n.a.")</x:f>
        <x:v>7599999.999999998</x:v>
      </x:c>
      <x:c r="AC29" s="85" t="n">
        <x:f>IF(COUNT(AC25,AC27)=2,AC25*AC27*12,"n.a.")</x:f>
        <x:v>7999999.999999996</x:v>
      </x:c>
      <x:c r="AD29" s="85" t="n">
        <x:f>IF(COUNT(AD25,AD27)=2,AD25*AD27*12,"n.a.")</x:f>
        <x:v>8399999.999999996</x:v>
      </x:c>
      <x:c r="AE29" s="85" t="n">
        <x:f>IF(COUNT(AE25,AE27)=2,AE25*AE27*12,"n.a.")</x:f>
        <x:v>8799999.999999996</x:v>
      </x:c>
      <x:c r="AF29" s="85" t="n">
        <x:f>IF(COUNT(AF25,AF27)=2,AF25*AF27*12,"n.a.")</x:f>
        <x:v>9199999.999999996</x:v>
      </x:c>
      <x:c r="AG29" s="85" t="n">
        <x:f>IF(COUNT(AG25,AG27)=2,AG25*AG27*12,"n.a.")</x:f>
        <x:v>9599999.999999996</x:v>
      </x:c>
      <x:c r="AH29" s="85" t="n">
        <x:f>IF(COUNT(AH25,AH27)=2,AH25*AH27*12,"n.a.")</x:f>
        <x:v>13499999.999999994</x:v>
      </x:c>
      <x:c r="AI29" s="85" t="n">
        <x:f>IF(COUNT(AI25,AI27)=2,AI25*AI27*12,"n.a.")</x:f>
        <x:v>14999999.999999994</x:v>
      </x:c>
      <x:c r="AJ29" s="85" t="n">
        <x:f>IF(COUNT(AJ25,AJ27)=2,AJ25*AJ27*12,"n.a.")</x:f>
        <x:v>16499999.999999994</x:v>
      </x:c>
      <x:c r="AK29" s="85" t="n">
        <x:f>IF(COUNT(AK25,AK27)=2,AK25*AK27*12,"n.a.")</x:f>
        <x:v>17999999.999999993</x:v>
      </x:c>
      <x:c r="AL29" s="85" t="n">
        <x:f>IF(COUNT(AL25,AL27)=2,AL25*AL27*12,"n.a.")</x:f>
        <x:v>19499999.999999993</x:v>
      </x:c>
      <x:c r="AM29" s="85" t="n">
        <x:f>IF(COUNT(AM25,AM27)=2,AM25*AM27*12,"n.a.")</x:f>
        <x:v>20999999.999999993</x:v>
      </x:c>
      <x:c r="AN29" s="85" t="n">
        <x:f>IF(COUNT(AN25,AN27)=2,AN25*AN27*12,"n.a.")</x:f>
        <x:v>22499999.999999993</x:v>
      </x:c>
      <x:c r="AO29" s="85" t="n">
        <x:f>IF(COUNT(AO25,AO27)=2,AO25*AO27*12,"n.a.")</x:f>
        <x:v>23999999.999999993</x:v>
      </x:c>
      <x:c r="AP29" s="85" t="n">
        <x:f>IF(COUNT(AP25,AP27)=2,AP25*AP27*12,"n.a.")</x:f>
        <x:v>25499999.999999993</x:v>
      </x:c>
      <x:c r="AQ29" s="85" t="n">
        <x:f>IF(COUNT(AQ25,AQ27)=2,AQ25*AQ27*12,"n.a.")</x:f>
        <x:v>26999999.999999993</x:v>
      </x:c>
      <x:c r="AR29" s="85" t="n">
        <x:f>IF(COUNT(AR25,AR27)=2,AR25*AR27*12,"n.a.")</x:f>
        <x:v>28499999.999999993</x:v>
      </x:c>
      <x:c r="AS29" s="85" t="n">
        <x:f>IF(COUNT(AS25,AS27)=2,AS25*AS27*12,"n.a.")</x:f>
        <x:v>29999999.999999993</x:v>
      </x:c>
      <x:c r="AT29" s="85" t="n">
        <x:f>IF(COUNT(AT25,AT27)=2,AT25*AT27*12,"n.a.")</x:f>
        <x:v>32999999.999999993</x:v>
      </x:c>
      <x:c r="AU29" s="85" t="n">
        <x:f>IF(COUNT(AU25,AU27)=2,AU25*AU27*12,"n.a.")</x:f>
        <x:v>35999999.99999999</x:v>
      </x:c>
      <x:c r="AV29" s="85" t="n">
        <x:f>IF(COUNT(AV25,AV27)=2,AV25*AV27*12,"n.a.")</x:f>
        <x:v>38999999.99999999</x:v>
      </x:c>
      <x:c r="AW29" s="85" t="n">
        <x:f>IF(COUNT(AW25,AW27)=2,AW25*AW27*12,"n.a.")</x:f>
        <x:v>41999999.99999999</x:v>
      </x:c>
      <x:c r="AX29" s="85" t="n">
        <x:f>IF(COUNT(AX25,AX27)=2,AX25*AX27*12,"n.a.")</x:f>
        <x:v>44999999.99999999</x:v>
      </x:c>
      <x:c r="AY29" s="85" t="n">
        <x:f>IF(COUNT(AY25,AY27)=2,AY25*AY27*12,"n.a.")</x:f>
        <x:v>47999999.99999999</x:v>
      </x:c>
      <x:c r="AZ29" s="85" t="n">
        <x:f>IF(COUNT(AZ25,AZ27)=2,AZ25*AZ27*12,"n.a.")</x:f>
        <x:v>51000000</x:v>
      </x:c>
      <x:c r="BA29" s="85" t="n">
        <x:f>IF(COUNT(BA25,BA27)=2,BA25*BA27*12,"n.a.")</x:f>
        <x:v>54000000</x:v>
      </x:c>
      <x:c r="BB29" s="85" t="n">
        <x:f>IF(COUNT(BB25,BB27)=2,BB25*BB27*12,"n.a.")</x:f>
        <x:v>57000000</x:v>
      </x:c>
      <x:c r="BC29" s="85" t="n">
        <x:f>IF(COUNT(BC25,BC27)=2,BC25*BC27*12,"n.a.")</x:f>
        <x:v>60000000</x:v>
      </x:c>
      <x:c r="BD29" s="85" t="n">
        <x:f>IF(COUNT(BD25,BD27)=2,BD25*BD27*12,"n.a.")</x:f>
        <x:v>63000000</x:v>
      </x:c>
      <x:c r="BE29" s="85" t="n">
        <x:f>IF(COUNT(BE25,BE27)=2,BE25*BE27*12,"n.a.")</x:f>
        <x:v>66000000</x:v>
      </x:c>
      <x:c r="BF29" s="85" t="n">
        <x:f>IF(COUNT(BF25,BF27)=2,BF25*BF27*12,"n.a.")</x:f>
        <x:v>70500000</x:v>
      </x:c>
      <x:c r="BG29" s="85" t="n">
        <x:f>IF(COUNT(BG25,BG27)=2,BG25*BG27*12,"n.a.")</x:f>
        <x:v>75000000</x:v>
      </x:c>
      <x:c r="BH29" s="85" t="n">
        <x:f>IF(COUNT(BH25,BH27)=2,BH25*BH27*12,"n.a.")</x:f>
        <x:v>79500000</x:v>
      </x:c>
      <x:c r="BI29" s="85" t="n">
        <x:f>IF(COUNT(BI25,BI27)=2,BI25*BI27*12,"n.a.")</x:f>
        <x:v>84000000</x:v>
      </x:c>
      <x:c r="BJ29" s="85" t="n">
        <x:f>IF(COUNT(BJ25,BJ27)=2,BJ25*BJ27*12,"n.a.")</x:f>
        <x:v>88500000</x:v>
      </x:c>
      <x:c r="BK29" s="85" t="n">
        <x:f>IF(COUNT(BK25,BK27)=2,BK25*BK27*12,"n.a.")</x:f>
        <x:v>93000000</x:v>
      </x:c>
      <x:c r="BL29" s="85" t="n">
        <x:f>IF(COUNT(BL25,BL27)=2,BL25*BL27*12,"n.a.")</x:f>
        <x:v>97500000</x:v>
      </x:c>
      <x:c r="BM29" s="85" t="n">
        <x:f>IF(COUNT(BM25,BM27)=2,BM25*BM27*12,"n.a.")</x:f>
        <x:v>102000000</x:v>
      </x:c>
      <x:c r="BN29" s="85" t="n">
        <x:f>IF(COUNT(BN25,BN27)=2,BN25*BN27*12,"n.a.")</x:f>
        <x:v>106500000</x:v>
      </x:c>
      <x:c r="BO29" s="85" t="n">
        <x:f>IF(COUNT(BO25,BO27)=2,BO25*BO27*12,"n.a.")</x:f>
        <x:v>111000000</x:v>
      </x:c>
      <x:c r="BP29" s="85" t="n">
        <x:f>IF(COUNT(BP25,BP27)=2,BP25*BP27*12,"n.a.")</x:f>
        <x:v>115500000</x:v>
      </x:c>
      <x:c r="BQ29" s="85" t="n">
        <x:f>IF(COUNT(BQ25,BQ27)=2,BQ25*BQ27*12,"n.a.")</x:f>
        <x:v>120000000</x:v>
      </x:c>
    </x:row>
    <x:row r="30" ht="23" customHeight="1">
      <x:c r="A30" s="2"/>
      <x:c r="B30" s="2"/>
      <x:c r="C30" s="2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  <x:c r="AP30" s="4"/>
      <x:c r="AQ30" s="4"/>
      <x:c r="AR30" s="4"/>
      <x:c r="AS30" s="4"/>
      <x:c r="AT30" s="4"/>
      <x:c r="AU30" s="4"/>
      <x:c r="AV30" s="4"/>
      <x:c r="AW30" s="4"/>
      <x:c r="AX30" s="4"/>
      <x:c r="AY30" s="4"/>
      <x:c r="AZ30" s="4"/>
      <x:c r="BA30" s="4"/>
      <x:c r="BB30" s="4"/>
      <x:c r="BC30" s="4"/>
      <x:c r="BD30" s="4"/>
      <x:c r="BE30" s="4"/>
      <x:c r="BF30" s="4"/>
      <x:c r="BG30" s="4"/>
      <x:c r="BH30" s="4"/>
      <x:c r="BI30" s="4"/>
      <x:c r="BJ30" s="4"/>
      <x:c r="BK30" s="4"/>
      <x:c r="BL30" s="4"/>
      <x:c r="BM30" s="4"/>
      <x:c r="BN30" s="4"/>
      <x:c r="BO30" s="4"/>
      <x:c r="BP30" s="4"/>
      <x:c r="BQ30" s="4"/>
    </x:row>
    <x:row r="31" ht="23" customHeight="1">
      <x:c r="A31" s="2"/>
      <x:c r="B31" s="2"/>
      <x:c r="C31" s="2" t="str">
        <x:v>RIA opening allocated assets ($)</x:v>
      </x:c>
      <x:c r="D31" s="69" t="n">
        <x:f>J31</x:f>
        <x:v>0</x:v>
      </x:c>
      <x:c r="E31" s="69" t="n">
        <x:f>V31</x:f>
        <x:v>0</x:v>
      </x:c>
      <x:c r="F31" s="69" t="n">
        <x:f>AH31</x:f>
        <x:v>0</x:v>
      </x:c>
      <x:c r="G31" s="69" t="n">
        <x:f>AT31</x:f>
        <x:v>750000000</x:v>
      </x:c>
      <x:c r="H31" s="69" t="n">
        <x:f>BF31</x:f>
        <x:v>3000000000</x:v>
      </x:c>
      <x:c r="I31" s="39" t="n">
        <x:f>'Assumptions'!$D$21</x:f>
        <x:v>0</x:v>
      </x:c>
      <x:c r="J31" s="69" t="n">
        <x:f>I33</x:f>
        <x:v>0</x:v>
      </x:c>
      <x:c r="K31" s="69" t="n">
        <x:f>J33</x:f>
        <x:v>0</x:v>
      </x:c>
      <x:c r="L31" s="69" t="n">
        <x:f>K33</x:f>
        <x:v>0</x:v>
      </x:c>
      <x:c r="M31" s="69" t="n">
        <x:f>L33</x:f>
        <x:v>0</x:v>
      </x:c>
      <x:c r="N31" s="69" t="n">
        <x:f>M33</x:f>
        <x:v>0</x:v>
      </x:c>
      <x:c r="O31" s="69" t="n">
        <x:f>N33</x:f>
        <x:v>0</x:v>
      </x:c>
      <x:c r="P31" s="69" t="n">
        <x:f>O33</x:f>
        <x:v>0</x:v>
      </x:c>
      <x:c r="Q31" s="69" t="n">
        <x:f>P33</x:f>
        <x:v>0</x:v>
      </x:c>
      <x:c r="R31" s="69" t="n">
        <x:f>Q33</x:f>
        <x:v>0</x:v>
      </x:c>
      <x:c r="S31" s="69" t="n">
        <x:f>R33</x:f>
        <x:v>0</x:v>
      </x:c>
      <x:c r="T31" s="69" t="n">
        <x:f>S33</x:f>
        <x:v>0</x:v>
      </x:c>
      <x:c r="U31" s="69" t="n">
        <x:f>T33</x:f>
        <x:v>0</x:v>
      </x:c>
      <x:c r="V31" s="69" t="n">
        <x:f>U33</x:f>
        <x:v>0</x:v>
      </x:c>
      <x:c r="W31" s="69" t="n">
        <x:f>V33</x:f>
        <x:v>0</x:v>
      </x:c>
      <x:c r="X31" s="69" t="n">
        <x:f>W33</x:f>
        <x:v>0</x:v>
      </x:c>
      <x:c r="Y31" s="69" t="n">
        <x:f>X33</x:f>
        <x:v>0</x:v>
      </x:c>
      <x:c r="Z31" s="69" t="n">
        <x:f>Y33</x:f>
        <x:v>0</x:v>
      </x:c>
      <x:c r="AA31" s="69" t="n">
        <x:f>Z33</x:f>
        <x:v>0</x:v>
      </x:c>
      <x:c r="AB31" s="69" t="n">
        <x:f>AA33</x:f>
        <x:v>0</x:v>
      </x:c>
      <x:c r="AC31" s="69" t="n">
        <x:f>AB33</x:f>
        <x:v>0</x:v>
      </x:c>
      <x:c r="AD31" s="69" t="n">
        <x:f>AC33</x:f>
        <x:v>0</x:v>
      </x:c>
      <x:c r="AE31" s="69" t="n">
        <x:f>AD33</x:f>
        <x:v>0</x:v>
      </x:c>
      <x:c r="AF31" s="69" t="n">
        <x:f>AE33</x:f>
        <x:v>0</x:v>
      </x:c>
      <x:c r="AG31" s="69" t="n">
        <x:f>AF33</x:f>
        <x:v>0</x:v>
      </x:c>
      <x:c r="AH31" s="69" t="n">
        <x:f>AG33</x:f>
        <x:v>0</x:v>
      </x:c>
      <x:c r="AI31" s="69" t="n">
        <x:f>AH33</x:f>
        <x:v>62500000</x:v>
      </x:c>
      <x:c r="AJ31" s="69" t="n">
        <x:f>AI33</x:f>
        <x:v>125000000</x:v>
      </x:c>
      <x:c r="AK31" s="69" t="n">
        <x:f>AJ33</x:f>
        <x:v>187500000</x:v>
      </x:c>
      <x:c r="AL31" s="69" t="n">
        <x:f>AK33</x:f>
        <x:v>250000000</x:v>
      </x:c>
      <x:c r="AM31" s="69" t="n">
        <x:f>AL33</x:f>
        <x:v>312500000</x:v>
      </x:c>
      <x:c r="AN31" s="69" t="n">
        <x:f>AM33</x:f>
        <x:v>375000000</x:v>
      </x:c>
      <x:c r="AO31" s="69" t="n">
        <x:f>AN33</x:f>
        <x:v>437500000</x:v>
      </x:c>
      <x:c r="AP31" s="69" t="n">
        <x:f>AO33</x:f>
        <x:v>500000000</x:v>
      </x:c>
      <x:c r="AQ31" s="69" t="n">
        <x:f>AP33</x:f>
        <x:v>562500000</x:v>
      </x:c>
      <x:c r="AR31" s="69" t="n">
        <x:f>AQ33</x:f>
        <x:v>625000000</x:v>
      </x:c>
      <x:c r="AS31" s="69" t="n">
        <x:f>AR33</x:f>
        <x:v>687500000</x:v>
      </x:c>
      <x:c r="AT31" s="69" t="n">
        <x:f>AS33</x:f>
        <x:v>750000000</x:v>
      </x:c>
      <x:c r="AU31" s="69" t="n">
        <x:f>AT33</x:f>
        <x:v>937500000</x:v>
      </x:c>
      <x:c r="AV31" s="69" t="n">
        <x:f>AU33</x:f>
        <x:v>1125000000</x:v>
      </x:c>
      <x:c r="AW31" s="69" t="n">
        <x:f>AV33</x:f>
        <x:v>1312500000</x:v>
      </x:c>
      <x:c r="AX31" s="69" t="n">
        <x:f>AW33</x:f>
        <x:v>1500000000</x:v>
      </x:c>
      <x:c r="AY31" s="69" t="n">
        <x:f>AX33</x:f>
        <x:v>1687500000</x:v>
      </x:c>
      <x:c r="AZ31" s="69" t="n">
        <x:f>AY33</x:f>
        <x:v>1875000000</x:v>
      </x:c>
      <x:c r="BA31" s="69" t="n">
        <x:f>AZ33</x:f>
        <x:v>2062500000</x:v>
      </x:c>
      <x:c r="BB31" s="69" t="n">
        <x:f>BA33</x:f>
        <x:v>2250000000</x:v>
      </x:c>
      <x:c r="BC31" s="69" t="n">
        <x:f>BB33</x:f>
        <x:v>2437500000</x:v>
      </x:c>
      <x:c r="BD31" s="69" t="n">
        <x:f>BC33</x:f>
        <x:v>2625000000</x:v>
      </x:c>
      <x:c r="BE31" s="69" t="n">
        <x:f>BD33</x:f>
        <x:v>2812500000</x:v>
      </x:c>
      <x:c r="BF31" s="69" t="n">
        <x:f>BE33</x:f>
        <x:v>3000000000</x:v>
      </x:c>
      <x:c r="BG31" s="69" t="n">
        <x:f>BF33</x:f>
        <x:v>3583333333.3333335</x:v>
      </x:c>
      <x:c r="BH31" s="69" t="n">
        <x:f>BG33</x:f>
        <x:v>4166666666.666667</x:v>
      </x:c>
      <x:c r="BI31" s="69" t="n">
        <x:f>BH33</x:f>
        <x:v>4750000000</x:v>
      </x:c>
      <x:c r="BJ31" s="69" t="n">
        <x:f>BI33</x:f>
        <x:v>5333333333.333333</x:v>
      </x:c>
      <x:c r="BK31" s="69" t="n">
        <x:f>BJ33</x:f>
        <x:v>5916666666.666666</x:v>
      </x:c>
      <x:c r="BL31" s="69" t="n">
        <x:f>BK33</x:f>
        <x:v>6499999999.999999</x:v>
      </x:c>
      <x:c r="BM31" s="69" t="n">
        <x:f>BL33</x:f>
        <x:v>7083333333.333332</x:v>
      </x:c>
      <x:c r="BN31" s="69" t="n">
        <x:f>BM33</x:f>
        <x:v>7666666666.666665</x:v>
      </x:c>
      <x:c r="BO31" s="69" t="n">
        <x:f>BN33</x:f>
        <x:v>8249999999.999998</x:v>
      </x:c>
      <x:c r="BP31" s="69" t="n">
        <x:f>BO33</x:f>
        <x:v>8833333333.333332</x:v>
      </x:c>
      <x:c r="BQ31" s="69" t="n">
        <x:f>BP33</x:f>
        <x:v>9416666666.666666</x:v>
      </x:c>
    </x:row>
    <x:row r="32" ht="23" customHeight="1">
      <x:c r="A32" s="2"/>
      <x:c r="B32" s="2"/>
      <x:c r="C32" s="2" t="str">
        <x:v>RIA net allocation required ($)</x:v>
      </x:c>
      <x:c r="D32" s="69" t="n">
        <x:f>SUM(J32:U32)</x:f>
        <x:v>0</x:v>
      </x:c>
      <x:c r="E32" s="69" t="n">
        <x:f>SUM(V32:AG32)</x:f>
        <x:v>0</x:v>
      </x:c>
      <x:c r="F32" s="69" t="n">
        <x:f>SUM(AH32:AS32)</x:f>
        <x:v>750000000</x:v>
      </x:c>
      <x:c r="G32" s="69" t="n">
        <x:f>SUM(AT32:BE32)</x:f>
        <x:v>2250000000</x:v>
      </x:c>
      <x:c r="H32" s="69" t="n">
        <x:f>SUM(BF32:BQ32)</x:f>
        <x:v>6999999999.999999</x:v>
      </x:c>
      <x:c r="I32" s="4" t="n">
        <x:v>0</x:v>
      </x:c>
      <x:c r="J32" s="39" t="n">
        <x:f>('Assumptions'!D11-'Assumptions'!$D$21)/12</x:f>
        <x:v>0</x:v>
      </x:c>
      <x:c r="K32" s="39" t="n">
        <x:f>('Assumptions'!D11-'Assumptions'!$D$21)/12</x:f>
        <x:v>0</x:v>
      </x:c>
      <x:c r="L32" s="39" t="n">
        <x:f>('Assumptions'!D11-'Assumptions'!$D$21)/12</x:f>
        <x:v>0</x:v>
      </x:c>
      <x:c r="M32" s="39" t="n">
        <x:f>('Assumptions'!D11-'Assumptions'!$D$21)/12</x:f>
        <x:v>0</x:v>
      </x:c>
      <x:c r="N32" s="39" t="n">
        <x:f>('Assumptions'!D11-'Assumptions'!$D$21)/12</x:f>
        <x:v>0</x:v>
      </x:c>
      <x:c r="O32" s="39" t="n">
        <x:f>('Assumptions'!D11-'Assumptions'!$D$21)/12</x:f>
        <x:v>0</x:v>
      </x:c>
      <x:c r="P32" s="39" t="n">
        <x:f>('Assumptions'!D11-'Assumptions'!$D$21)/12</x:f>
        <x:v>0</x:v>
      </x:c>
      <x:c r="Q32" s="39" t="n">
        <x:f>('Assumptions'!D11-'Assumptions'!$D$21)/12</x:f>
        <x:v>0</x:v>
      </x:c>
      <x:c r="R32" s="39" t="n">
        <x:f>('Assumptions'!D11-'Assumptions'!$D$21)/12</x:f>
        <x:v>0</x:v>
      </x:c>
      <x:c r="S32" s="39" t="n">
        <x:f>('Assumptions'!D11-'Assumptions'!$D$21)/12</x:f>
        <x:v>0</x:v>
      </x:c>
      <x:c r="T32" s="39" t="n">
        <x:f>('Assumptions'!D11-'Assumptions'!$D$21)/12</x:f>
        <x:v>0</x:v>
      </x:c>
      <x:c r="U32" s="39" t="n">
        <x:f>('Assumptions'!D11-'Assumptions'!$D$21)/12</x:f>
        <x:v>0</x:v>
      </x:c>
      <x:c r="V32" s="39" t="n">
        <x:f>('Assumptions'!E11-'Assumptions'!D11)/12</x:f>
        <x:v>0</x:v>
      </x:c>
      <x:c r="W32" s="39" t="n">
        <x:f>('Assumptions'!E11-'Assumptions'!D11)/12</x:f>
        <x:v>0</x:v>
      </x:c>
      <x:c r="X32" s="39" t="n">
        <x:f>('Assumptions'!E11-'Assumptions'!D11)/12</x:f>
        <x:v>0</x:v>
      </x:c>
      <x:c r="Y32" s="39" t="n">
        <x:f>('Assumptions'!E11-'Assumptions'!D11)/12</x:f>
        <x:v>0</x:v>
      </x:c>
      <x:c r="Z32" s="39" t="n">
        <x:f>('Assumptions'!E11-'Assumptions'!D11)/12</x:f>
        <x:v>0</x:v>
      </x:c>
      <x:c r="AA32" s="39" t="n">
        <x:f>('Assumptions'!E11-'Assumptions'!D11)/12</x:f>
        <x:v>0</x:v>
      </x:c>
      <x:c r="AB32" s="39" t="n">
        <x:f>('Assumptions'!E11-'Assumptions'!D11)/12</x:f>
        <x:v>0</x:v>
      </x:c>
      <x:c r="AC32" s="39" t="n">
        <x:f>('Assumptions'!E11-'Assumptions'!D11)/12</x:f>
        <x:v>0</x:v>
      </x:c>
      <x:c r="AD32" s="39" t="n">
        <x:f>('Assumptions'!E11-'Assumptions'!D11)/12</x:f>
        <x:v>0</x:v>
      </x:c>
      <x:c r="AE32" s="39" t="n">
        <x:f>('Assumptions'!E11-'Assumptions'!D11)/12</x:f>
        <x:v>0</x:v>
      </x:c>
      <x:c r="AF32" s="39" t="n">
        <x:f>('Assumptions'!E11-'Assumptions'!D11)/12</x:f>
        <x:v>0</x:v>
      </x:c>
      <x:c r="AG32" s="39" t="n">
        <x:f>('Assumptions'!E11-'Assumptions'!D11)/12</x:f>
        <x:v>0</x:v>
      </x:c>
      <x:c r="AH32" s="39" t="n">
        <x:f>('Assumptions'!F11-'Assumptions'!E11)/12</x:f>
        <x:v>62500000</x:v>
      </x:c>
      <x:c r="AI32" s="39" t="n">
        <x:f>('Assumptions'!F11-'Assumptions'!E11)/12</x:f>
        <x:v>62500000</x:v>
      </x:c>
      <x:c r="AJ32" s="39" t="n">
        <x:f>('Assumptions'!F11-'Assumptions'!E11)/12</x:f>
        <x:v>62500000</x:v>
      </x:c>
      <x:c r="AK32" s="39" t="n">
        <x:f>('Assumptions'!F11-'Assumptions'!E11)/12</x:f>
        <x:v>62500000</x:v>
      </x:c>
      <x:c r="AL32" s="39" t="n">
        <x:f>('Assumptions'!F11-'Assumptions'!E11)/12</x:f>
        <x:v>62500000</x:v>
      </x:c>
      <x:c r="AM32" s="39" t="n">
        <x:f>('Assumptions'!F11-'Assumptions'!E11)/12</x:f>
        <x:v>62500000</x:v>
      </x:c>
      <x:c r="AN32" s="39" t="n">
        <x:f>('Assumptions'!F11-'Assumptions'!E11)/12</x:f>
        <x:v>62500000</x:v>
      </x:c>
      <x:c r="AO32" s="39" t="n">
        <x:f>('Assumptions'!F11-'Assumptions'!E11)/12</x:f>
        <x:v>62500000</x:v>
      </x:c>
      <x:c r="AP32" s="39" t="n">
        <x:f>('Assumptions'!F11-'Assumptions'!E11)/12</x:f>
        <x:v>62500000</x:v>
      </x:c>
      <x:c r="AQ32" s="39" t="n">
        <x:f>('Assumptions'!F11-'Assumptions'!E11)/12</x:f>
        <x:v>62500000</x:v>
      </x:c>
      <x:c r="AR32" s="39" t="n">
        <x:f>('Assumptions'!F11-'Assumptions'!E11)/12</x:f>
        <x:v>62500000</x:v>
      </x:c>
      <x:c r="AS32" s="39" t="n">
        <x:f>('Assumptions'!F11-'Assumptions'!E11)/12</x:f>
        <x:v>62500000</x:v>
      </x:c>
      <x:c r="AT32" s="39" t="n">
        <x:f>('Assumptions'!G11-'Assumptions'!F11)/12</x:f>
        <x:v>187500000</x:v>
      </x:c>
      <x:c r="AU32" s="39" t="n">
        <x:f>('Assumptions'!G11-'Assumptions'!F11)/12</x:f>
        <x:v>187500000</x:v>
      </x:c>
      <x:c r="AV32" s="39" t="n">
        <x:f>('Assumptions'!G11-'Assumptions'!F11)/12</x:f>
        <x:v>187500000</x:v>
      </x:c>
      <x:c r="AW32" s="39" t="n">
        <x:f>('Assumptions'!G11-'Assumptions'!F11)/12</x:f>
        <x:v>187500000</x:v>
      </x:c>
      <x:c r="AX32" s="39" t="n">
        <x:f>('Assumptions'!G11-'Assumptions'!F11)/12</x:f>
        <x:v>187500000</x:v>
      </x:c>
      <x:c r="AY32" s="39" t="n">
        <x:f>('Assumptions'!G11-'Assumptions'!F11)/12</x:f>
        <x:v>187500000</x:v>
      </x:c>
      <x:c r="AZ32" s="39" t="n">
        <x:f>('Assumptions'!G11-'Assumptions'!F11)/12</x:f>
        <x:v>187500000</x:v>
      </x:c>
      <x:c r="BA32" s="39" t="n">
        <x:f>('Assumptions'!G11-'Assumptions'!F11)/12</x:f>
        <x:v>187500000</x:v>
      </x:c>
      <x:c r="BB32" s="39" t="n">
        <x:f>('Assumptions'!G11-'Assumptions'!F11)/12</x:f>
        <x:v>187500000</x:v>
      </x:c>
      <x:c r="BC32" s="39" t="n">
        <x:f>('Assumptions'!G11-'Assumptions'!F11)/12</x:f>
        <x:v>187500000</x:v>
      </x:c>
      <x:c r="BD32" s="39" t="n">
        <x:f>('Assumptions'!G11-'Assumptions'!F11)/12</x:f>
        <x:v>187500000</x:v>
      </x:c>
      <x:c r="BE32" s="39" t="n">
        <x:f>('Assumptions'!G11-'Assumptions'!F11)/12</x:f>
        <x:v>187500000</x:v>
      </x:c>
      <x:c r="BF32" s="39" t="n">
        <x:f>('Assumptions'!H11-'Assumptions'!G11)/12</x:f>
        <x:v>583333333.3333334</x:v>
      </x:c>
      <x:c r="BG32" s="39" t="n">
        <x:f>('Assumptions'!H11-'Assumptions'!G11)/12</x:f>
        <x:v>583333333.3333334</x:v>
      </x:c>
      <x:c r="BH32" s="39" t="n">
        <x:f>('Assumptions'!H11-'Assumptions'!G11)/12</x:f>
        <x:v>583333333.3333334</x:v>
      </x:c>
      <x:c r="BI32" s="39" t="n">
        <x:f>('Assumptions'!H11-'Assumptions'!G11)/12</x:f>
        <x:v>583333333.3333334</x:v>
      </x:c>
      <x:c r="BJ32" s="39" t="n">
        <x:f>('Assumptions'!H11-'Assumptions'!G11)/12</x:f>
        <x:v>583333333.3333334</x:v>
      </x:c>
      <x:c r="BK32" s="39" t="n">
        <x:f>('Assumptions'!H11-'Assumptions'!G11)/12</x:f>
        <x:v>583333333.3333334</x:v>
      </x:c>
      <x:c r="BL32" s="39" t="n">
        <x:f>('Assumptions'!H11-'Assumptions'!G11)/12</x:f>
        <x:v>583333333.3333334</x:v>
      </x:c>
      <x:c r="BM32" s="39" t="n">
        <x:f>('Assumptions'!H11-'Assumptions'!G11)/12</x:f>
        <x:v>583333333.3333334</x:v>
      </x:c>
      <x:c r="BN32" s="39" t="n">
        <x:f>('Assumptions'!H11-'Assumptions'!G11)/12</x:f>
        <x:v>583333333.3333334</x:v>
      </x:c>
      <x:c r="BO32" s="39" t="n">
        <x:f>('Assumptions'!H11-'Assumptions'!G11)/12</x:f>
        <x:v>583333333.3333334</x:v>
      </x:c>
      <x:c r="BP32" s="39" t="n">
        <x:f>('Assumptions'!H11-'Assumptions'!G11)/12</x:f>
        <x:v>583333333.3333334</x:v>
      </x:c>
      <x:c r="BQ32" s="39" t="n">
        <x:f>('Assumptions'!H11-'Assumptions'!G11)/12</x:f>
        <x:v>583333333.3333334</x:v>
      </x:c>
    </x:row>
    <x:row r="33" ht="23" customHeight="1">
      <x:c r="A33" s="2"/>
      <x:c r="B33" s="2"/>
      <x:c r="C33" s="2" t="str">
        <x:v>RIA closing allocated assets ($)</x:v>
      </x:c>
      <x:c r="D33" s="69" t="n">
        <x:f>U33</x:f>
        <x:v>0</x:v>
      </x:c>
      <x:c r="E33" s="69" t="n">
        <x:f>AG33</x:f>
        <x:v>0</x:v>
      </x:c>
      <x:c r="F33" s="69" t="n">
        <x:f>AS33</x:f>
        <x:v>750000000</x:v>
      </x:c>
      <x:c r="G33" s="69" t="n">
        <x:f>BE33</x:f>
        <x:v>3000000000</x:v>
      </x:c>
      <x:c r="H33" s="69" t="n">
        <x:f>BQ33</x:f>
        <x:v>10000000000</x:v>
      </x:c>
      <x:c r="I33" s="69" t="n">
        <x:f>I31</x:f>
        <x:v>0</x:v>
      </x:c>
      <x:c r="J33" s="69" t="n">
        <x:f>SUM(J31:J32)</x:f>
        <x:v>0</x:v>
      </x:c>
      <x:c r="K33" s="69" t="n">
        <x:f>SUM(K31:K32)</x:f>
        <x:v>0</x:v>
      </x:c>
      <x:c r="L33" s="69" t="n">
        <x:f>SUM(L31:L32)</x:f>
        <x:v>0</x:v>
      </x:c>
      <x:c r="M33" s="69" t="n">
        <x:f>SUM(M31:M32)</x:f>
        <x:v>0</x:v>
      </x:c>
      <x:c r="N33" s="69" t="n">
        <x:f>SUM(N31:N32)</x:f>
        <x:v>0</x:v>
      </x:c>
      <x:c r="O33" s="69" t="n">
        <x:f>SUM(O31:O32)</x:f>
        <x:v>0</x:v>
      </x:c>
      <x:c r="P33" s="69" t="n">
        <x:f>SUM(P31:P32)</x:f>
        <x:v>0</x:v>
      </x:c>
      <x:c r="Q33" s="69" t="n">
        <x:f>SUM(Q31:Q32)</x:f>
        <x:v>0</x:v>
      </x:c>
      <x:c r="R33" s="69" t="n">
        <x:f>SUM(R31:R32)</x:f>
        <x:v>0</x:v>
      </x:c>
      <x:c r="S33" s="69" t="n">
        <x:f>SUM(S31:S32)</x:f>
        <x:v>0</x:v>
      </x:c>
      <x:c r="T33" s="69" t="n">
        <x:f>SUM(T31:T32)</x:f>
        <x:v>0</x:v>
      </x:c>
      <x:c r="U33" s="69" t="n">
        <x:f>SUM(U31:U32)</x:f>
        <x:v>0</x:v>
      </x:c>
      <x:c r="V33" s="69" t="n">
        <x:f>SUM(V31:V32)</x:f>
        <x:v>0</x:v>
      </x:c>
      <x:c r="W33" s="69" t="n">
        <x:f>SUM(W31:W32)</x:f>
        <x:v>0</x:v>
      </x:c>
      <x:c r="X33" s="69" t="n">
        <x:f>SUM(X31:X32)</x:f>
        <x:v>0</x:v>
      </x:c>
      <x:c r="Y33" s="69" t="n">
        <x:f>SUM(Y31:Y32)</x:f>
        <x:v>0</x:v>
      </x:c>
      <x:c r="Z33" s="69" t="n">
        <x:f>SUM(Z31:Z32)</x:f>
        <x:v>0</x:v>
      </x:c>
      <x:c r="AA33" s="69" t="n">
        <x:f>SUM(AA31:AA32)</x:f>
        <x:v>0</x:v>
      </x:c>
      <x:c r="AB33" s="69" t="n">
        <x:f>SUM(AB31:AB32)</x:f>
        <x:v>0</x:v>
      </x:c>
      <x:c r="AC33" s="69" t="n">
        <x:f>SUM(AC31:AC32)</x:f>
        <x:v>0</x:v>
      </x:c>
      <x:c r="AD33" s="69" t="n">
        <x:f>SUM(AD31:AD32)</x:f>
        <x:v>0</x:v>
      </x:c>
      <x:c r="AE33" s="69" t="n">
        <x:f>SUM(AE31:AE32)</x:f>
        <x:v>0</x:v>
      </x:c>
      <x:c r="AF33" s="69" t="n">
        <x:f>SUM(AF31:AF32)</x:f>
        <x:v>0</x:v>
      </x:c>
      <x:c r="AG33" s="69" t="n">
        <x:f>SUM(AG31:AG32)</x:f>
        <x:v>0</x:v>
      </x:c>
      <x:c r="AH33" s="69" t="n">
        <x:f>SUM(AH31:AH32)</x:f>
        <x:v>62500000</x:v>
      </x:c>
      <x:c r="AI33" s="69" t="n">
        <x:f>SUM(AI31:AI32)</x:f>
        <x:v>125000000</x:v>
      </x:c>
      <x:c r="AJ33" s="69" t="n">
        <x:f>SUM(AJ31:AJ32)</x:f>
        <x:v>187500000</x:v>
      </x:c>
      <x:c r="AK33" s="69" t="n">
        <x:f>SUM(AK31:AK32)</x:f>
        <x:v>250000000</x:v>
      </x:c>
      <x:c r="AL33" s="69" t="n">
        <x:f>SUM(AL31:AL32)</x:f>
        <x:v>312500000</x:v>
      </x:c>
      <x:c r="AM33" s="69" t="n">
        <x:f>SUM(AM31:AM32)</x:f>
        <x:v>375000000</x:v>
      </x:c>
      <x:c r="AN33" s="69" t="n">
        <x:f>SUM(AN31:AN32)</x:f>
        <x:v>437500000</x:v>
      </x:c>
      <x:c r="AO33" s="69" t="n">
        <x:f>SUM(AO31:AO32)</x:f>
        <x:v>500000000</x:v>
      </x:c>
      <x:c r="AP33" s="69" t="n">
        <x:f>SUM(AP31:AP32)</x:f>
        <x:v>562500000</x:v>
      </x:c>
      <x:c r="AQ33" s="69" t="n">
        <x:f>SUM(AQ31:AQ32)</x:f>
        <x:v>625000000</x:v>
      </x:c>
      <x:c r="AR33" s="69" t="n">
        <x:f>SUM(AR31:AR32)</x:f>
        <x:v>687500000</x:v>
      </x:c>
      <x:c r="AS33" s="69" t="n">
        <x:f>SUM(AS31:AS32)</x:f>
        <x:v>750000000</x:v>
      </x:c>
      <x:c r="AT33" s="69" t="n">
        <x:f>SUM(AT31:AT32)</x:f>
        <x:v>937500000</x:v>
      </x:c>
      <x:c r="AU33" s="69" t="n">
        <x:f>SUM(AU31:AU32)</x:f>
        <x:v>1125000000</x:v>
      </x:c>
      <x:c r="AV33" s="69" t="n">
        <x:f>SUM(AV31:AV32)</x:f>
        <x:v>1312500000</x:v>
      </x:c>
      <x:c r="AW33" s="69" t="n">
        <x:f>SUM(AW31:AW32)</x:f>
        <x:v>1500000000</x:v>
      </x:c>
      <x:c r="AX33" s="69" t="n">
        <x:f>SUM(AX31:AX32)</x:f>
        <x:v>1687500000</x:v>
      </x:c>
      <x:c r="AY33" s="69" t="n">
        <x:f>SUM(AY31:AY32)</x:f>
        <x:v>1875000000</x:v>
      </x:c>
      <x:c r="AZ33" s="69" t="n">
        <x:f>SUM(AZ31:AZ32)</x:f>
        <x:v>2062500000</x:v>
      </x:c>
      <x:c r="BA33" s="69" t="n">
        <x:f>SUM(BA31:BA32)</x:f>
        <x:v>2250000000</x:v>
      </x:c>
      <x:c r="BB33" s="69" t="n">
        <x:f>SUM(BB31:BB32)</x:f>
        <x:v>2437500000</x:v>
      </x:c>
      <x:c r="BC33" s="69" t="n">
        <x:f>SUM(BC31:BC32)</x:f>
        <x:v>2625000000</x:v>
      </x:c>
      <x:c r="BD33" s="69" t="n">
        <x:f>SUM(BD31:BD32)</x:f>
        <x:v>2812500000</x:v>
      </x:c>
      <x:c r="BE33" s="69" t="n">
        <x:f>SUM(BE31:BE32)</x:f>
        <x:v>3000000000</x:v>
      </x:c>
      <x:c r="BF33" s="69" t="n">
        <x:f>SUM(BF31:BF32)</x:f>
        <x:v>3583333333.3333335</x:v>
      </x:c>
      <x:c r="BG33" s="69" t="n">
        <x:f>SUM(BG31:BG32)</x:f>
        <x:v>4166666666.666667</x:v>
      </x:c>
      <x:c r="BH33" s="69" t="n">
        <x:f>SUM(BH31:BH32)</x:f>
        <x:v>4750000000</x:v>
      </x:c>
      <x:c r="BI33" s="69" t="n">
        <x:f>SUM(BI31:BI32)</x:f>
        <x:v>5333333333.333333</x:v>
      </x:c>
      <x:c r="BJ33" s="69" t="n">
        <x:f>SUM(BJ31:BJ32)</x:f>
        <x:v>5916666666.666666</x:v>
      </x:c>
      <x:c r="BK33" s="69" t="n">
        <x:f>SUM(BK31:BK32)</x:f>
        <x:v>6499999999.999999</x:v>
      </x:c>
      <x:c r="BL33" s="69" t="n">
        <x:f>SUM(BL31:BL32)</x:f>
        <x:v>7083333333.333332</x:v>
      </x:c>
      <x:c r="BM33" s="69" t="n">
        <x:f>SUM(BM31:BM32)</x:f>
        <x:v>7666666666.666665</x:v>
      </x:c>
      <x:c r="BN33" s="69" t="n">
        <x:f>SUM(BN31:BN32)</x:f>
        <x:v>8249999999.999998</x:v>
      </x:c>
      <x:c r="BO33" s="69" t="n">
        <x:f>SUM(BO31:BO32)</x:f>
        <x:v>8833333333.333332</x:v>
      </x:c>
      <x:c r="BP33" s="69" t="n">
        <x:f>SUM(BP31:BP32)</x:f>
        <x:v>9416666666.666666</x:v>
      </x:c>
      <x:c r="BQ33" s="69" t="n">
        <x:f>SUM(BQ31:BQ32)</x:f>
        <x:v>10000000000</x:v>
      </x:c>
    </x:row>
    <x:row r="34" ht="23" customHeight="1">
      <x:c r="A34" s="2"/>
      <x:c r="B34" s="2"/>
      <x:c r="C34" s="2" t="str">
        <x:v>RIA average allocated assets ($)</x:v>
      </x:c>
      <x:c r="D34" s="69" t="n">
        <x:f>IF(COUNT(J34:U34)=12,AVERAGE(J34:U34),"n.a.")</x:f>
        <x:v>0</x:v>
      </x:c>
      <x:c r="E34" s="69" t="n">
        <x:f>IF(COUNT(V34:AG34)=12,AVERAGE(V34:AG34),"n.a.")</x:f>
        <x:v>0</x:v>
      </x:c>
      <x:c r="F34" s="69" t="n">
        <x:f>IF(COUNT(AH34:AS34)=12,AVERAGE(AH34:AS34),"n.a.")</x:f>
        <x:v>375000000</x:v>
      </x:c>
      <x:c r="G34" s="69" t="n">
        <x:f>IF(COUNT(AT34:BE34)=12,AVERAGE(AT34:BE34),"n.a.")</x:f>
        <x:v>1875000000</x:v>
      </x:c>
      <x:c r="H34" s="69" t="n">
        <x:f>IF(COUNT(BF34:BQ34)=12,AVERAGE(BF34:BQ34),"n.a.")</x:f>
        <x:v>6500000000</x:v>
      </x:c>
      <x:c r="I34" s="69" t="n">
        <x:f>I31</x:f>
        <x:v>0</x:v>
      </x:c>
      <x:c r="J34" s="39" t="n">
        <x:f>J31+J32*'Assumptions'!D15</x:f>
        <x:v>0</x:v>
      </x:c>
      <x:c r="K34" s="39" t="n">
        <x:f>K31+K32*'Assumptions'!D15</x:f>
        <x:v>0</x:v>
      </x:c>
      <x:c r="L34" s="39" t="n">
        <x:f>L31+L32*'Assumptions'!D15</x:f>
        <x:v>0</x:v>
      </x:c>
      <x:c r="M34" s="39" t="n">
        <x:f>M31+M32*'Assumptions'!D15</x:f>
        <x:v>0</x:v>
      </x:c>
      <x:c r="N34" s="39" t="n">
        <x:f>N31+N32*'Assumptions'!D15</x:f>
        <x:v>0</x:v>
      </x:c>
      <x:c r="O34" s="39" t="n">
        <x:f>O31+O32*'Assumptions'!D15</x:f>
        <x:v>0</x:v>
      </x:c>
      <x:c r="P34" s="39" t="n">
        <x:f>P31+P32*'Assumptions'!D15</x:f>
        <x:v>0</x:v>
      </x:c>
      <x:c r="Q34" s="39" t="n">
        <x:f>Q31+Q32*'Assumptions'!D15</x:f>
        <x:v>0</x:v>
      </x:c>
      <x:c r="R34" s="39" t="n">
        <x:f>R31+R32*'Assumptions'!D15</x:f>
        <x:v>0</x:v>
      </x:c>
      <x:c r="S34" s="39" t="n">
        <x:f>S31+S32*'Assumptions'!D15</x:f>
        <x:v>0</x:v>
      </x:c>
      <x:c r="T34" s="39" t="n">
        <x:f>T31+T32*'Assumptions'!D15</x:f>
        <x:v>0</x:v>
      </x:c>
      <x:c r="U34" s="39" t="n">
        <x:f>U31+U32*'Assumptions'!D15</x:f>
        <x:v>0</x:v>
      </x:c>
      <x:c r="V34" s="39" t="n">
        <x:f>V31+V32*'Assumptions'!E15</x:f>
        <x:v>0</x:v>
      </x:c>
      <x:c r="W34" s="39" t="n">
        <x:f>W31+W32*'Assumptions'!E15</x:f>
        <x:v>0</x:v>
      </x:c>
      <x:c r="X34" s="39" t="n">
        <x:f>X31+X32*'Assumptions'!E15</x:f>
        <x:v>0</x:v>
      </x:c>
      <x:c r="Y34" s="39" t="n">
        <x:f>Y31+Y32*'Assumptions'!E15</x:f>
        <x:v>0</x:v>
      </x:c>
      <x:c r="Z34" s="39" t="n">
        <x:f>Z31+Z32*'Assumptions'!E15</x:f>
        <x:v>0</x:v>
      </x:c>
      <x:c r="AA34" s="39" t="n">
        <x:f>AA31+AA32*'Assumptions'!E15</x:f>
        <x:v>0</x:v>
      </x:c>
      <x:c r="AB34" s="39" t="n">
        <x:f>AB31+AB32*'Assumptions'!E15</x:f>
        <x:v>0</x:v>
      </x:c>
      <x:c r="AC34" s="39" t="n">
        <x:f>AC31+AC32*'Assumptions'!E15</x:f>
        <x:v>0</x:v>
      </x:c>
      <x:c r="AD34" s="39" t="n">
        <x:f>AD31+AD32*'Assumptions'!E15</x:f>
        <x:v>0</x:v>
      </x:c>
      <x:c r="AE34" s="39" t="n">
        <x:f>AE31+AE32*'Assumptions'!E15</x:f>
        <x:v>0</x:v>
      </x:c>
      <x:c r="AF34" s="39" t="n">
        <x:f>AF31+AF32*'Assumptions'!E15</x:f>
        <x:v>0</x:v>
      </x:c>
      <x:c r="AG34" s="39" t="n">
        <x:f>AG31+AG32*'Assumptions'!E15</x:f>
        <x:v>0</x:v>
      </x:c>
      <x:c r="AH34" s="39" t="n">
        <x:f>AH31+AH32*'Assumptions'!F15</x:f>
        <x:v>31250000</x:v>
      </x:c>
      <x:c r="AI34" s="39" t="n">
        <x:f>AI31+AI32*'Assumptions'!F15</x:f>
        <x:v>93750000</x:v>
      </x:c>
      <x:c r="AJ34" s="39" t="n">
        <x:f>AJ31+AJ32*'Assumptions'!F15</x:f>
        <x:v>156250000</x:v>
      </x:c>
      <x:c r="AK34" s="39" t="n">
        <x:f>AK31+AK32*'Assumptions'!F15</x:f>
        <x:v>218750000</x:v>
      </x:c>
      <x:c r="AL34" s="39" t="n">
        <x:f>AL31+AL32*'Assumptions'!F15</x:f>
        <x:v>281250000</x:v>
      </x:c>
      <x:c r="AM34" s="39" t="n">
        <x:f>AM31+AM32*'Assumptions'!F15</x:f>
        <x:v>343750000</x:v>
      </x:c>
      <x:c r="AN34" s="39" t="n">
        <x:f>AN31+AN32*'Assumptions'!F15</x:f>
        <x:v>406250000</x:v>
      </x:c>
      <x:c r="AO34" s="39" t="n">
        <x:f>AO31+AO32*'Assumptions'!F15</x:f>
        <x:v>468750000</x:v>
      </x:c>
      <x:c r="AP34" s="39" t="n">
        <x:f>AP31+AP32*'Assumptions'!F15</x:f>
        <x:v>531250000</x:v>
      </x:c>
      <x:c r="AQ34" s="39" t="n">
        <x:f>AQ31+AQ32*'Assumptions'!F15</x:f>
        <x:v>593750000</x:v>
      </x:c>
      <x:c r="AR34" s="39" t="n">
        <x:f>AR31+AR32*'Assumptions'!F15</x:f>
        <x:v>656250000</x:v>
      </x:c>
      <x:c r="AS34" s="39" t="n">
        <x:f>AS31+AS32*'Assumptions'!F15</x:f>
        <x:v>718750000</x:v>
      </x:c>
      <x:c r="AT34" s="39" t="n">
        <x:f>AT31+AT32*'Assumptions'!G15</x:f>
        <x:v>843750000</x:v>
      </x:c>
      <x:c r="AU34" s="39" t="n">
        <x:f>AU31+AU32*'Assumptions'!G15</x:f>
        <x:v>1031250000</x:v>
      </x:c>
      <x:c r="AV34" s="39" t="n">
        <x:f>AV31+AV32*'Assumptions'!G15</x:f>
        <x:v>1218750000</x:v>
      </x:c>
      <x:c r="AW34" s="39" t="n">
        <x:f>AW31+AW32*'Assumptions'!G15</x:f>
        <x:v>1406250000</x:v>
      </x:c>
      <x:c r="AX34" s="39" t="n">
        <x:f>AX31+AX32*'Assumptions'!G15</x:f>
        <x:v>1593750000</x:v>
      </x:c>
      <x:c r="AY34" s="39" t="n">
        <x:f>AY31+AY32*'Assumptions'!G15</x:f>
        <x:v>1781250000</x:v>
      </x:c>
      <x:c r="AZ34" s="39" t="n">
        <x:f>AZ31+AZ32*'Assumptions'!G15</x:f>
        <x:v>1968750000</x:v>
      </x:c>
      <x:c r="BA34" s="39" t="n">
        <x:f>BA31+BA32*'Assumptions'!G15</x:f>
        <x:v>2156250000</x:v>
      </x:c>
      <x:c r="BB34" s="39" t="n">
        <x:f>BB31+BB32*'Assumptions'!G15</x:f>
        <x:v>2343750000</x:v>
      </x:c>
      <x:c r="BC34" s="39" t="n">
        <x:f>BC31+BC32*'Assumptions'!G15</x:f>
        <x:v>2531250000</x:v>
      </x:c>
      <x:c r="BD34" s="39" t="n">
        <x:f>BD31+BD32*'Assumptions'!G15</x:f>
        <x:v>2718750000</x:v>
      </x:c>
      <x:c r="BE34" s="39" t="n">
        <x:f>BE31+BE32*'Assumptions'!G15</x:f>
        <x:v>2906250000</x:v>
      </x:c>
      <x:c r="BF34" s="39" t="n">
        <x:f>BF31+BF32*'Assumptions'!H15</x:f>
        <x:v>3291666666.6666665</x:v>
      </x:c>
      <x:c r="BG34" s="39" t="n">
        <x:f>BG31+BG32*'Assumptions'!H15</x:f>
        <x:v>3875000000</x:v>
      </x:c>
      <x:c r="BH34" s="39" t="n">
        <x:f>BH31+BH32*'Assumptions'!H15</x:f>
        <x:v>4458333333.333334</x:v>
      </x:c>
      <x:c r="BI34" s="39" t="n">
        <x:f>BI31+BI32*'Assumptions'!H15</x:f>
        <x:v>5041666666.666667</x:v>
      </x:c>
      <x:c r="BJ34" s="39" t="n">
        <x:f>BJ31+BJ32*'Assumptions'!H15</x:f>
        <x:v>5625000000</x:v>
      </x:c>
      <x:c r="BK34" s="39" t="n">
        <x:f>BK31+BK32*'Assumptions'!H15</x:f>
        <x:v>6208333333.333333</x:v>
      </x:c>
      <x:c r="BL34" s="39" t="n">
        <x:f>BL31+BL32*'Assumptions'!H15</x:f>
        <x:v>6791666666.666666</x:v>
      </x:c>
      <x:c r="BM34" s="39" t="n">
        <x:f>BM31+BM32*'Assumptions'!H15</x:f>
        <x:v>7374999999.999999</x:v>
      </x:c>
      <x:c r="BN34" s="39" t="n">
        <x:f>BN31+BN32*'Assumptions'!H15</x:f>
        <x:v>7958333333.333332</x:v>
      </x:c>
      <x:c r="BO34" s="39" t="n">
        <x:f>BO31+BO32*'Assumptions'!H15</x:f>
        <x:v>8541666666.666665</x:v>
      </x:c>
      <x:c r="BP34" s="39" t="n">
        <x:f>BP31+BP32*'Assumptions'!H15</x:f>
        <x:v>9124999999.999998</x:v>
      </x:c>
      <x:c r="BQ34" s="39" t="n">
        <x:f>BQ31+BQ32*'Assumptions'!H15</x:f>
        <x:v>9708333333.333332</x:v>
      </x:c>
    </x:row>
    <x:row r="35" ht="23" customHeight="1">
      <x:c r="A35" s="2"/>
      <x:c r="B35" s="2"/>
      <x:c r="C35" s="59" t="str">
        <x:v>RIA annual licensing fee</x:v>
      </x:c>
      <x:c r="D35" s="73" t="n">
        <x:f>IF(COUNT(J35:U35)=12,AVERAGE(J35:U35),"n.a.")</x:f>
        <x:v>0.004000000000000001</x:v>
      </x:c>
      <x:c r="E35" s="73" t="n">
        <x:f>IF(COUNT(V35:AG35)=12,AVERAGE(V35:AG35),"n.a.")</x:f>
        <x:v>0.004000000000000001</x:v>
      </x:c>
      <x:c r="F35" s="73" t="n">
        <x:f>IF(COUNT(AH35:AS35)=12,AVERAGE(AH35:AS35),"n.a.")</x:f>
        <x:v>0.004000000000000001</x:v>
      </x:c>
      <x:c r="G35" s="73" t="n">
        <x:f>IF(COUNT(AT35:BE35)=12,AVERAGE(AT35:BE35),"n.a.")</x:f>
        <x:v>0.004000000000000001</x:v>
      </x:c>
      <x:c r="H35" s="73" t="n">
        <x:f>IF(COUNT(BF35:BQ35)=12,AVERAGE(BF35:BQ35),"n.a.")</x:f>
        <x:v>0.004000000000000001</x:v>
      </x:c>
      <x:c r="I35" s="75" t="n">
        <x:f>'Assumptions'!D12</x:f>
        <x:v>0.004</x:v>
      </x:c>
      <x:c r="J35" s="75" t="n">
        <x:f>'Assumptions'!D12</x:f>
        <x:v>0.004</x:v>
      </x:c>
      <x:c r="K35" s="75" t="n">
        <x:f>'Assumptions'!D12</x:f>
        <x:v>0.004</x:v>
      </x:c>
      <x:c r="L35" s="75" t="n">
        <x:f>'Assumptions'!D12</x:f>
        <x:v>0.004</x:v>
      </x:c>
      <x:c r="M35" s="75" t="n">
        <x:f>'Assumptions'!D12</x:f>
        <x:v>0.004</x:v>
      </x:c>
      <x:c r="N35" s="75" t="n">
        <x:f>'Assumptions'!D12</x:f>
        <x:v>0.004</x:v>
      </x:c>
      <x:c r="O35" s="75" t="n">
        <x:f>'Assumptions'!D12</x:f>
        <x:v>0.004</x:v>
      </x:c>
      <x:c r="P35" s="75" t="n">
        <x:f>'Assumptions'!D12</x:f>
        <x:v>0.004</x:v>
      </x:c>
      <x:c r="Q35" s="75" t="n">
        <x:f>'Assumptions'!D12</x:f>
        <x:v>0.004</x:v>
      </x:c>
      <x:c r="R35" s="75" t="n">
        <x:f>'Assumptions'!D12</x:f>
        <x:v>0.004</x:v>
      </x:c>
      <x:c r="S35" s="75" t="n">
        <x:f>'Assumptions'!D12</x:f>
        <x:v>0.004</x:v>
      </x:c>
      <x:c r="T35" s="75" t="n">
        <x:f>'Assumptions'!D12</x:f>
        <x:v>0.004</x:v>
      </x:c>
      <x:c r="U35" s="75" t="n">
        <x:f>'Assumptions'!D12</x:f>
        <x:v>0.004</x:v>
      </x:c>
      <x:c r="V35" s="75" t="n">
        <x:f>'Assumptions'!E12</x:f>
        <x:v>0.004</x:v>
      </x:c>
      <x:c r="W35" s="75" t="n">
        <x:f>'Assumptions'!E12</x:f>
        <x:v>0.004</x:v>
      </x:c>
      <x:c r="X35" s="75" t="n">
        <x:f>'Assumptions'!E12</x:f>
        <x:v>0.004</x:v>
      </x:c>
      <x:c r="Y35" s="75" t="n">
        <x:f>'Assumptions'!E12</x:f>
        <x:v>0.004</x:v>
      </x:c>
      <x:c r="Z35" s="75" t="n">
        <x:f>'Assumptions'!E12</x:f>
        <x:v>0.004</x:v>
      </x:c>
      <x:c r="AA35" s="75" t="n">
        <x:f>'Assumptions'!E12</x:f>
        <x:v>0.004</x:v>
      </x:c>
      <x:c r="AB35" s="75" t="n">
        <x:f>'Assumptions'!E12</x:f>
        <x:v>0.004</x:v>
      </x:c>
      <x:c r="AC35" s="75" t="n">
        <x:f>'Assumptions'!E12</x:f>
        <x:v>0.004</x:v>
      </x:c>
      <x:c r="AD35" s="75" t="n">
        <x:f>'Assumptions'!E12</x:f>
        <x:v>0.004</x:v>
      </x:c>
      <x:c r="AE35" s="75" t="n">
        <x:f>'Assumptions'!E12</x:f>
        <x:v>0.004</x:v>
      </x:c>
      <x:c r="AF35" s="75" t="n">
        <x:f>'Assumptions'!E12</x:f>
        <x:v>0.004</x:v>
      </x:c>
      <x:c r="AG35" s="75" t="n">
        <x:f>'Assumptions'!E12</x:f>
        <x:v>0.004</x:v>
      </x:c>
      <x:c r="AH35" s="75" t="n">
        <x:f>'Assumptions'!F12</x:f>
        <x:v>0.004</x:v>
      </x:c>
      <x:c r="AI35" s="75" t="n">
        <x:f>'Assumptions'!F12</x:f>
        <x:v>0.004</x:v>
      </x:c>
      <x:c r="AJ35" s="75" t="n">
        <x:f>'Assumptions'!F12</x:f>
        <x:v>0.004</x:v>
      </x:c>
      <x:c r="AK35" s="75" t="n">
        <x:f>'Assumptions'!F12</x:f>
        <x:v>0.004</x:v>
      </x:c>
      <x:c r="AL35" s="75" t="n">
        <x:f>'Assumptions'!F12</x:f>
        <x:v>0.004</x:v>
      </x:c>
      <x:c r="AM35" s="75" t="n">
        <x:f>'Assumptions'!F12</x:f>
        <x:v>0.004</x:v>
      </x:c>
      <x:c r="AN35" s="75" t="n">
        <x:f>'Assumptions'!F12</x:f>
        <x:v>0.004</x:v>
      </x:c>
      <x:c r="AO35" s="75" t="n">
        <x:f>'Assumptions'!F12</x:f>
        <x:v>0.004</x:v>
      </x:c>
      <x:c r="AP35" s="75" t="n">
        <x:f>'Assumptions'!F12</x:f>
        <x:v>0.004</x:v>
      </x:c>
      <x:c r="AQ35" s="75" t="n">
        <x:f>'Assumptions'!F12</x:f>
        <x:v>0.004</x:v>
      </x:c>
      <x:c r="AR35" s="75" t="n">
        <x:f>'Assumptions'!F12</x:f>
        <x:v>0.004</x:v>
      </x:c>
      <x:c r="AS35" s="75" t="n">
        <x:f>'Assumptions'!F12</x:f>
        <x:v>0.004</x:v>
      </x:c>
      <x:c r="AT35" s="75" t="n">
        <x:f>'Assumptions'!G12</x:f>
        <x:v>0.004</x:v>
      </x:c>
      <x:c r="AU35" s="75" t="n">
        <x:f>'Assumptions'!G12</x:f>
        <x:v>0.004</x:v>
      </x:c>
      <x:c r="AV35" s="75" t="n">
        <x:f>'Assumptions'!G12</x:f>
        <x:v>0.004</x:v>
      </x:c>
      <x:c r="AW35" s="75" t="n">
        <x:f>'Assumptions'!G12</x:f>
        <x:v>0.004</x:v>
      </x:c>
      <x:c r="AX35" s="75" t="n">
        <x:f>'Assumptions'!G12</x:f>
        <x:v>0.004</x:v>
      </x:c>
      <x:c r="AY35" s="75" t="n">
        <x:f>'Assumptions'!G12</x:f>
        <x:v>0.004</x:v>
      </x:c>
      <x:c r="AZ35" s="75" t="n">
        <x:f>'Assumptions'!G12</x:f>
        <x:v>0.004</x:v>
      </x:c>
      <x:c r="BA35" s="75" t="n">
        <x:f>'Assumptions'!G12</x:f>
        <x:v>0.004</x:v>
      </x:c>
      <x:c r="BB35" s="75" t="n">
        <x:f>'Assumptions'!G12</x:f>
        <x:v>0.004</x:v>
      </x:c>
      <x:c r="BC35" s="75" t="n">
        <x:f>'Assumptions'!G12</x:f>
        <x:v>0.004</x:v>
      </x:c>
      <x:c r="BD35" s="75" t="n">
        <x:f>'Assumptions'!G12</x:f>
        <x:v>0.004</x:v>
      </x:c>
      <x:c r="BE35" s="75" t="n">
        <x:f>'Assumptions'!G12</x:f>
        <x:v>0.004</x:v>
      </x:c>
      <x:c r="BF35" s="75" t="n">
        <x:f>'Assumptions'!H12</x:f>
        <x:v>0.004</x:v>
      </x:c>
      <x:c r="BG35" s="75" t="n">
        <x:f>'Assumptions'!H12</x:f>
        <x:v>0.004</x:v>
      </x:c>
      <x:c r="BH35" s="75" t="n">
        <x:f>'Assumptions'!H12</x:f>
        <x:v>0.004</x:v>
      </x:c>
      <x:c r="BI35" s="75" t="n">
        <x:f>'Assumptions'!H12</x:f>
        <x:v>0.004</x:v>
      </x:c>
      <x:c r="BJ35" s="75" t="n">
        <x:f>'Assumptions'!H12</x:f>
        <x:v>0.004</x:v>
      </x:c>
      <x:c r="BK35" s="75" t="n">
        <x:f>'Assumptions'!H12</x:f>
        <x:v>0.004</x:v>
      </x:c>
      <x:c r="BL35" s="75" t="n">
        <x:f>'Assumptions'!H12</x:f>
        <x:v>0.004</x:v>
      </x:c>
      <x:c r="BM35" s="75" t="n">
        <x:f>'Assumptions'!H12</x:f>
        <x:v>0.004</x:v>
      </x:c>
      <x:c r="BN35" s="75" t="n">
        <x:f>'Assumptions'!H12</x:f>
        <x:v>0.004</x:v>
      </x:c>
      <x:c r="BO35" s="75" t="n">
        <x:f>'Assumptions'!H12</x:f>
        <x:v>0.004</x:v>
      </x:c>
      <x:c r="BP35" s="75" t="n">
        <x:f>'Assumptions'!H12</x:f>
        <x:v>0.004</x:v>
      </x:c>
      <x:c r="BQ35" s="75" t="n">
        <x:f>'Assumptions'!H12</x:f>
        <x:v>0.004</x:v>
      </x:c>
    </x:row>
    <x:row r="36" ht="25" customHeight="1">
      <x:c r="A36" s="2"/>
      <x:c r="B36" s="2"/>
      <x:c r="C36" s="84" t="str">
        <x:v>RIA revenue earned in period</x:v>
      </x:c>
      <x:c r="D36" s="85" t="n">
        <x:f>SUM(J36:U36)</x:f>
        <x:v>0</x:v>
      </x:c>
      <x:c r="E36" s="85" t="n">
        <x:f>SUM(V36:AG36)</x:f>
        <x:v>0</x:v>
      </x:c>
      <x:c r="F36" s="85" t="n">
        <x:f>SUM(AH36:AS36)</x:f>
        <x:v>1499999.9999999998</x:v>
      </x:c>
      <x:c r="G36" s="85" t="n">
        <x:f>SUM(AT36:BE36)</x:f>
        <x:v>7500000</x:v>
      </x:c>
      <x:c r="H36" s="85" t="n">
        <x:f>SUM(BF36:BQ36)</x:f>
        <x:v>25999999.999999993</x:v>
      </x:c>
      <x:c r="I36" s="85" t="n">
        <x:f>I34*I35/12</x:f>
        <x:v>0</x:v>
      </x:c>
      <x:c r="J36" s="85" t="n">
        <x:f>J34*J35/12</x:f>
        <x:v>0</x:v>
      </x:c>
      <x:c r="K36" s="85" t="n">
        <x:f>K34*K35/12</x:f>
        <x:v>0</x:v>
      </x:c>
      <x:c r="L36" s="85" t="n">
        <x:f>L34*L35/12</x:f>
        <x:v>0</x:v>
      </x:c>
      <x:c r="M36" s="85" t="n">
        <x:f>M34*M35/12</x:f>
        <x:v>0</x:v>
      </x:c>
      <x:c r="N36" s="85" t="n">
        <x:f>N34*N35/12</x:f>
        <x:v>0</x:v>
      </x:c>
      <x:c r="O36" s="85" t="n">
        <x:f>O34*O35/12</x:f>
        <x:v>0</x:v>
      </x:c>
      <x:c r="P36" s="85" t="n">
        <x:f>P34*P35/12</x:f>
        <x:v>0</x:v>
      </x:c>
      <x:c r="Q36" s="85" t="n">
        <x:f>Q34*Q35/12</x:f>
        <x:v>0</x:v>
      </x:c>
      <x:c r="R36" s="85" t="n">
        <x:f>R34*R35/12</x:f>
        <x:v>0</x:v>
      </x:c>
      <x:c r="S36" s="85" t="n">
        <x:f>S34*S35/12</x:f>
        <x:v>0</x:v>
      </x:c>
      <x:c r="T36" s="85" t="n">
        <x:f>T34*T35/12</x:f>
        <x:v>0</x:v>
      </x:c>
      <x:c r="U36" s="85" t="n">
        <x:f>U34*U35/12</x:f>
        <x:v>0</x:v>
      </x:c>
      <x:c r="V36" s="85" t="n">
        <x:f>V34*V35/12</x:f>
        <x:v>0</x:v>
      </x:c>
      <x:c r="W36" s="85" t="n">
        <x:f>W34*W35/12</x:f>
        <x:v>0</x:v>
      </x:c>
      <x:c r="X36" s="85" t="n">
        <x:f>X34*X35/12</x:f>
        <x:v>0</x:v>
      </x:c>
      <x:c r="Y36" s="85" t="n">
        <x:f>Y34*Y35/12</x:f>
        <x:v>0</x:v>
      </x:c>
      <x:c r="Z36" s="85" t="n">
        <x:f>Z34*Z35/12</x:f>
        <x:v>0</x:v>
      </x:c>
      <x:c r="AA36" s="85" t="n">
        <x:f>AA34*AA35/12</x:f>
        <x:v>0</x:v>
      </x:c>
      <x:c r="AB36" s="85" t="n">
        <x:f>AB34*AB35/12</x:f>
        <x:v>0</x:v>
      </x:c>
      <x:c r="AC36" s="85" t="n">
        <x:f>AC34*AC35/12</x:f>
        <x:v>0</x:v>
      </x:c>
      <x:c r="AD36" s="85" t="n">
        <x:f>AD34*AD35/12</x:f>
        <x:v>0</x:v>
      </x:c>
      <x:c r="AE36" s="85" t="n">
        <x:f>AE34*AE35/12</x:f>
        <x:v>0</x:v>
      </x:c>
      <x:c r="AF36" s="85" t="n">
        <x:f>AF34*AF35/12</x:f>
        <x:v>0</x:v>
      </x:c>
      <x:c r="AG36" s="85" t="n">
        <x:f>AG34*AG35/12</x:f>
        <x:v>0</x:v>
      </x:c>
      <x:c r="AH36" s="85" t="n">
        <x:f>AH34*AH35/12</x:f>
        <x:v>10416.666666666666</x:v>
      </x:c>
      <x:c r="AI36" s="85" t="n">
        <x:f>AI34*AI35/12</x:f>
        <x:v>31250</x:v>
      </x:c>
      <x:c r="AJ36" s="85" t="n">
        <x:f>AJ34*AJ35/12</x:f>
        <x:v>52083.333333333336</x:v>
      </x:c>
      <x:c r="AK36" s="85" t="n">
        <x:f>AK34*AK35/12</x:f>
        <x:v>72916.66666666667</x:v>
      </x:c>
      <x:c r="AL36" s="85" t="n">
        <x:f>AL34*AL35/12</x:f>
        <x:v>93750</x:v>
      </x:c>
      <x:c r="AM36" s="85" t="n">
        <x:f>AM34*AM35/12</x:f>
        <x:v>114583.33333333333</x:v>
      </x:c>
      <x:c r="AN36" s="85" t="n">
        <x:f>AN34*AN35/12</x:f>
        <x:v>135416.66666666666</x:v>
      </x:c>
      <x:c r="AO36" s="85" t="n">
        <x:f>AO34*AO35/12</x:f>
        <x:v>156250</x:v>
      </x:c>
      <x:c r="AP36" s="85" t="n">
        <x:f>AP34*AP35/12</x:f>
        <x:v>177083.33333333334</x:v>
      </x:c>
      <x:c r="AQ36" s="85" t="n">
        <x:f>AQ34*AQ35/12</x:f>
        <x:v>197916.66666666666</x:v>
      </x:c>
      <x:c r="AR36" s="85" t="n">
        <x:f>AR34*AR35/12</x:f>
        <x:v>218750</x:v>
      </x:c>
      <x:c r="AS36" s="85" t="n">
        <x:f>AS34*AS35/12</x:f>
        <x:v>239583.33333333334</x:v>
      </x:c>
      <x:c r="AT36" s="85" t="n">
        <x:f>AT34*AT35/12</x:f>
        <x:v>281250</x:v>
      </x:c>
      <x:c r="AU36" s="85" t="n">
        <x:f>AU34*AU35/12</x:f>
        <x:v>343750</x:v>
      </x:c>
      <x:c r="AV36" s="85" t="n">
        <x:f>AV34*AV35/12</x:f>
        <x:v>406250</x:v>
      </x:c>
      <x:c r="AW36" s="85" t="n">
        <x:f>AW34*AW35/12</x:f>
        <x:v>468750</x:v>
      </x:c>
      <x:c r="AX36" s="85" t="n">
        <x:f>AX34*AX35/12</x:f>
        <x:v>531250</x:v>
      </x:c>
      <x:c r="AY36" s="85" t="n">
        <x:f>AY34*AY35/12</x:f>
        <x:v>593750</x:v>
      </x:c>
      <x:c r="AZ36" s="85" t="n">
        <x:f>AZ34*AZ35/12</x:f>
        <x:v>656250</x:v>
      </x:c>
      <x:c r="BA36" s="85" t="n">
        <x:f>BA34*BA35/12</x:f>
        <x:v>718750</x:v>
      </x:c>
      <x:c r="BB36" s="85" t="n">
        <x:f>BB34*BB35/12</x:f>
        <x:v>781250</x:v>
      </x:c>
      <x:c r="BC36" s="85" t="n">
        <x:f>BC34*BC35/12</x:f>
        <x:v>843750</x:v>
      </x:c>
      <x:c r="BD36" s="85" t="n">
        <x:f>BD34*BD35/12</x:f>
        <x:v>906250</x:v>
      </x:c>
      <x:c r="BE36" s="85" t="n">
        <x:f>BE34*BE35/12</x:f>
        <x:v>968750</x:v>
      </x:c>
      <x:c r="BF36" s="85" t="n">
        <x:f>BF34*BF35/12</x:f>
        <x:v>1097222.2222222222</x:v>
      </x:c>
      <x:c r="BG36" s="85" t="n">
        <x:f>BG34*BG35/12</x:f>
        <x:v>1291666.6666666667</x:v>
      </x:c>
      <x:c r="BH36" s="85" t="n">
        <x:f>BH34*BH35/12</x:f>
        <x:v>1486111.1111111112</x:v>
      </x:c>
      <x:c r="BI36" s="85" t="n">
        <x:f>BI34*BI35/12</x:f>
        <x:v>1680555.5555555557</x:v>
      </x:c>
      <x:c r="BJ36" s="85" t="n">
        <x:f>BJ34*BJ35/12</x:f>
        <x:v>1875000</x:v>
      </x:c>
      <x:c r="BK36" s="85" t="n">
        <x:f>BK34*BK35/12</x:f>
        <x:v>2069444.4444444443</x:v>
      </x:c>
      <x:c r="BL36" s="85" t="n">
        <x:f>BL34*BL35/12</x:f>
        <x:v>2263888.8888888885</x:v>
      </x:c>
      <x:c r="BM36" s="85" t="n">
        <x:f>BM34*BM35/12</x:f>
        <x:v>2458333.333333333</x:v>
      </x:c>
      <x:c r="BN36" s="85" t="n">
        <x:f>BN34*BN35/12</x:f>
        <x:v>2652777.7777777775</x:v>
      </x:c>
      <x:c r="BO36" s="85" t="n">
        <x:f>BO34*BO35/12</x:f>
        <x:v>2847222.222222222</x:v>
      </x:c>
      <x:c r="BP36" s="85" t="n">
        <x:f>BP34*BP35/12</x:f>
        <x:v>3041666.666666666</x:v>
      </x:c>
      <x:c r="BQ36" s="85" t="n">
        <x:f>BQ34*BQ35/12</x:f>
        <x:v>3236111.1111111105</x:v>
      </x:c>
    </x:row>
    <x:row r="37" ht="25" customHeight="1">
      <x:c r="A37" s="2"/>
      <x:c r="B37" s="2"/>
      <x:c r="C37" s="84" t="str">
        <x:v>RIA exit annualized revenue</x:v>
      </x:c>
      <x:c r="D37" s="85" t="n">
        <x:f>U37</x:f>
        <x:v>0</x:v>
      </x:c>
      <x:c r="E37" s="85" t="n">
        <x:f>AG37</x:f>
        <x:v>0</x:v>
      </x:c>
      <x:c r="F37" s="85" t="n">
        <x:f>AS37</x:f>
        <x:v>3000000</x:v>
      </x:c>
      <x:c r="G37" s="85" t="n">
        <x:f>BE37</x:f>
        <x:v>12000000</x:v>
      </x:c>
      <x:c r="H37" s="85" t="n">
        <x:f>BQ37</x:f>
        <x:v>40000000</x:v>
      </x:c>
      <x:c r="I37" s="85" t="n">
        <x:f>I33*I35</x:f>
        <x:v>0</x:v>
      </x:c>
      <x:c r="J37" s="85" t="n">
        <x:f>J33*J35</x:f>
        <x:v>0</x:v>
      </x:c>
      <x:c r="K37" s="85" t="n">
        <x:f>K33*K35</x:f>
        <x:v>0</x:v>
      </x:c>
      <x:c r="L37" s="85" t="n">
        <x:f>L33*L35</x:f>
        <x:v>0</x:v>
      </x:c>
      <x:c r="M37" s="85" t="n">
        <x:f>M33*M35</x:f>
        <x:v>0</x:v>
      </x:c>
      <x:c r="N37" s="85" t="n">
        <x:f>N33*N35</x:f>
        <x:v>0</x:v>
      </x:c>
      <x:c r="O37" s="85" t="n">
        <x:f>O33*O35</x:f>
        <x:v>0</x:v>
      </x:c>
      <x:c r="P37" s="85" t="n">
        <x:f>P33*P35</x:f>
        <x:v>0</x:v>
      </x:c>
      <x:c r="Q37" s="85" t="n">
        <x:f>Q33*Q35</x:f>
        <x:v>0</x:v>
      </x:c>
      <x:c r="R37" s="85" t="n">
        <x:f>R33*R35</x:f>
        <x:v>0</x:v>
      </x:c>
      <x:c r="S37" s="85" t="n">
        <x:f>S33*S35</x:f>
        <x:v>0</x:v>
      </x:c>
      <x:c r="T37" s="85" t="n">
        <x:f>T33*T35</x:f>
        <x:v>0</x:v>
      </x:c>
      <x:c r="U37" s="85" t="n">
        <x:f>U33*U35</x:f>
        <x:v>0</x:v>
      </x:c>
      <x:c r="V37" s="85" t="n">
        <x:f>V33*V35</x:f>
        <x:v>0</x:v>
      </x:c>
      <x:c r="W37" s="85" t="n">
        <x:f>W33*W35</x:f>
        <x:v>0</x:v>
      </x:c>
      <x:c r="X37" s="85" t="n">
        <x:f>X33*X35</x:f>
        <x:v>0</x:v>
      </x:c>
      <x:c r="Y37" s="85" t="n">
        <x:f>Y33*Y35</x:f>
        <x:v>0</x:v>
      </x:c>
      <x:c r="Z37" s="85" t="n">
        <x:f>Z33*Z35</x:f>
        <x:v>0</x:v>
      </x:c>
      <x:c r="AA37" s="85" t="n">
        <x:f>AA33*AA35</x:f>
        <x:v>0</x:v>
      </x:c>
      <x:c r="AB37" s="85" t="n">
        <x:f>AB33*AB35</x:f>
        <x:v>0</x:v>
      </x:c>
      <x:c r="AC37" s="85" t="n">
        <x:f>AC33*AC35</x:f>
        <x:v>0</x:v>
      </x:c>
      <x:c r="AD37" s="85" t="n">
        <x:f>AD33*AD35</x:f>
        <x:v>0</x:v>
      </x:c>
      <x:c r="AE37" s="85" t="n">
        <x:f>AE33*AE35</x:f>
        <x:v>0</x:v>
      </x:c>
      <x:c r="AF37" s="85" t="n">
        <x:f>AF33*AF35</x:f>
        <x:v>0</x:v>
      </x:c>
      <x:c r="AG37" s="85" t="n">
        <x:f>AG33*AG35</x:f>
        <x:v>0</x:v>
      </x:c>
      <x:c r="AH37" s="85" t="n">
        <x:f>AH33*AH35</x:f>
        <x:v>250000</x:v>
      </x:c>
      <x:c r="AI37" s="85" t="n">
        <x:f>AI33*AI35</x:f>
        <x:v>500000</x:v>
      </x:c>
      <x:c r="AJ37" s="85" t="n">
        <x:f>AJ33*AJ35</x:f>
        <x:v>750000</x:v>
      </x:c>
      <x:c r="AK37" s="85" t="n">
        <x:f>AK33*AK35</x:f>
        <x:v>1000000</x:v>
      </x:c>
      <x:c r="AL37" s="85" t="n">
        <x:f>AL33*AL35</x:f>
        <x:v>1250000</x:v>
      </x:c>
      <x:c r="AM37" s="85" t="n">
        <x:f>AM33*AM35</x:f>
        <x:v>1500000</x:v>
      </x:c>
      <x:c r="AN37" s="85" t="n">
        <x:f>AN33*AN35</x:f>
        <x:v>1750000</x:v>
      </x:c>
      <x:c r="AO37" s="85" t="n">
        <x:f>AO33*AO35</x:f>
        <x:v>2000000</x:v>
      </x:c>
      <x:c r="AP37" s="85" t="n">
        <x:f>AP33*AP35</x:f>
        <x:v>2250000</x:v>
      </x:c>
      <x:c r="AQ37" s="85" t="n">
        <x:f>AQ33*AQ35</x:f>
        <x:v>2500000</x:v>
      </x:c>
      <x:c r="AR37" s="85" t="n">
        <x:f>AR33*AR35</x:f>
        <x:v>2750000</x:v>
      </x:c>
      <x:c r="AS37" s="85" t="n">
        <x:f>AS33*AS35</x:f>
        <x:v>3000000</x:v>
      </x:c>
      <x:c r="AT37" s="85" t="n">
        <x:f>AT33*AT35</x:f>
        <x:v>3750000</x:v>
      </x:c>
      <x:c r="AU37" s="85" t="n">
        <x:f>AU33*AU35</x:f>
        <x:v>4500000</x:v>
      </x:c>
      <x:c r="AV37" s="85" t="n">
        <x:f>AV33*AV35</x:f>
        <x:v>5250000</x:v>
      </x:c>
      <x:c r="AW37" s="85" t="n">
        <x:f>AW33*AW35</x:f>
        <x:v>6000000</x:v>
      </x:c>
      <x:c r="AX37" s="85" t="n">
        <x:f>AX33*AX35</x:f>
        <x:v>6750000</x:v>
      </x:c>
      <x:c r="AY37" s="85" t="n">
        <x:f>AY33*AY35</x:f>
        <x:v>7500000</x:v>
      </x:c>
      <x:c r="AZ37" s="85" t="n">
        <x:f>AZ33*AZ35</x:f>
        <x:v>8250000</x:v>
      </x:c>
      <x:c r="BA37" s="85" t="n">
        <x:f>BA33*BA35</x:f>
        <x:v>9000000</x:v>
      </x:c>
      <x:c r="BB37" s="85" t="n">
        <x:f>BB33*BB35</x:f>
        <x:v>9750000</x:v>
      </x:c>
      <x:c r="BC37" s="85" t="n">
        <x:f>BC33*BC35</x:f>
        <x:v>10500000</x:v>
      </x:c>
      <x:c r="BD37" s="85" t="n">
        <x:f>BD33*BD35</x:f>
        <x:v>11250000</x:v>
      </x:c>
      <x:c r="BE37" s="85" t="n">
        <x:f>BE33*BE35</x:f>
        <x:v>12000000</x:v>
      </x:c>
      <x:c r="BF37" s="85" t="n">
        <x:f>BF33*BF35</x:f>
        <x:v>14333333.333333334</x:v>
      </x:c>
      <x:c r="BG37" s="85" t="n">
        <x:f>BG33*BG35</x:f>
        <x:v>16666666.666666668</x:v>
      </x:c>
      <x:c r="BH37" s="85" t="n">
        <x:f>BH33*BH35</x:f>
        <x:v>19000000</x:v>
      </x:c>
      <x:c r="BI37" s="85" t="n">
        <x:f>BI33*BI35</x:f>
        <x:v>21333333.333333332</x:v>
      </x:c>
      <x:c r="BJ37" s="85" t="n">
        <x:f>BJ33*BJ35</x:f>
        <x:v>23666666.666666664</x:v>
      </x:c>
      <x:c r="BK37" s="85" t="n">
        <x:f>BK33*BK35</x:f>
        <x:v>25999999.999999996</x:v>
      </x:c>
      <x:c r="BL37" s="85" t="n">
        <x:f>BL33*BL35</x:f>
        <x:v>28333333.33333333</x:v>
      </x:c>
      <x:c r="BM37" s="85" t="n">
        <x:f>BM33*BM35</x:f>
        <x:v>30666666.66666666</x:v>
      </x:c>
      <x:c r="BN37" s="85" t="n">
        <x:f>BN33*BN35</x:f>
        <x:v>32999999.999999993</x:v>
      </x:c>
      <x:c r="BO37" s="85" t="n">
        <x:f>BO33*BO35</x:f>
        <x:v>35333333.33333333</x:v>
      </x:c>
      <x:c r="BP37" s="85" t="n">
        <x:f>BP33*BP35</x:f>
        <x:v>37666666.666666664</x:v>
      </x:c>
      <x:c r="BQ37" s="85" t="n">
        <x:f>BQ33*BQ35</x:f>
        <x:v>40000000</x:v>
      </x:c>
    </x:row>
    <x:row r="38" ht="23" customHeight="1">
      <x:c r="A38" s="2"/>
      <x:c r="B38" s="2"/>
      <x:c r="C38" s="2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  <x:c r="AP38" s="4"/>
      <x:c r="AQ38" s="4"/>
      <x:c r="AR38" s="4"/>
      <x:c r="AS38" s="4"/>
      <x:c r="AT38" s="4"/>
      <x:c r="AU38" s="4"/>
      <x:c r="AV38" s="4"/>
      <x:c r="AW38" s="4"/>
      <x:c r="AX38" s="4"/>
      <x:c r="AY38" s="4"/>
      <x:c r="AZ38" s="4"/>
      <x:c r="BA38" s="4"/>
      <x:c r="BB38" s="4"/>
      <x:c r="BC38" s="4"/>
      <x:c r="BD38" s="4"/>
      <x:c r="BE38" s="4"/>
      <x:c r="BF38" s="4"/>
      <x:c r="BG38" s="4"/>
      <x:c r="BH38" s="4"/>
      <x:c r="BI38" s="4"/>
      <x:c r="BJ38" s="4"/>
      <x:c r="BK38" s="4"/>
      <x:c r="BL38" s="4"/>
      <x:c r="BM38" s="4"/>
      <x:c r="BN38" s="4"/>
      <x:c r="BO38" s="4"/>
      <x:c r="BP38" s="4"/>
      <x:c r="BQ38" s="4"/>
    </x:row>
    <x:row r="39" ht="23" customHeight="1">
      <x:c r="A39" s="2"/>
      <x:c r="B39" s="2"/>
      <x:c r="C39" s="2" t="str">
        <x:v>Business opening clients</x:v>
      </x:c>
      <x:c r="D39" s="76" t="n">
        <x:f>J39</x:f>
        <x:v>0</x:v>
      </x:c>
      <x:c r="E39" s="76" t="n">
        <x:f>V39</x:f>
        <x:v>0</x:v>
      </x:c>
      <x:c r="F39" s="76" t="n">
        <x:f>AH39</x:f>
        <x:v>0</x:v>
      </x:c>
      <x:c r="G39" s="76" t="n">
        <x:f>AT39</x:f>
        <x:v>5</x:v>
      </x:c>
      <x:c r="H39" s="76" t="n">
        <x:f>BF39</x:f>
        <x:v>29.999999999999996</x:v>
      </x:c>
      <x:c r="I39" s="77" t="n">
        <x:f>'Assumptions'!$D$22</x:f>
        <x:v>0</x:v>
      </x:c>
      <x:c r="J39" s="76" t="n">
        <x:f>I41</x:f>
        <x:v>0</x:v>
      </x:c>
      <x:c r="K39" s="76" t="n">
        <x:f>J41</x:f>
        <x:v>0</x:v>
      </x:c>
      <x:c r="L39" s="76" t="n">
        <x:f>K41</x:f>
        <x:v>0</x:v>
      </x:c>
      <x:c r="M39" s="76" t="n">
        <x:f>L41</x:f>
        <x:v>0</x:v>
      </x:c>
      <x:c r="N39" s="76" t="n">
        <x:f>M41</x:f>
        <x:v>0</x:v>
      </x:c>
      <x:c r="O39" s="76" t="n">
        <x:f>N41</x:f>
        <x:v>0</x:v>
      </x:c>
      <x:c r="P39" s="76" t="n">
        <x:f>O41</x:f>
        <x:v>0</x:v>
      </x:c>
      <x:c r="Q39" s="76" t="n">
        <x:f>P41</x:f>
        <x:v>0</x:v>
      </x:c>
      <x:c r="R39" s="76" t="n">
        <x:f>Q41</x:f>
        <x:v>0</x:v>
      </x:c>
      <x:c r="S39" s="76" t="n">
        <x:f>R41</x:f>
        <x:v>0</x:v>
      </x:c>
      <x:c r="T39" s="76" t="n">
        <x:f>S41</x:f>
        <x:v>0</x:v>
      </x:c>
      <x:c r="U39" s="76" t="n">
        <x:f>T41</x:f>
        <x:v>0</x:v>
      </x:c>
      <x:c r="V39" s="76" t="n">
        <x:f>U41</x:f>
        <x:v>0</x:v>
      </x:c>
      <x:c r="W39" s="76" t="n">
        <x:f>V41</x:f>
        <x:v>0</x:v>
      </x:c>
      <x:c r="X39" s="76" t="n">
        <x:f>W41</x:f>
        <x:v>0</x:v>
      </x:c>
      <x:c r="Y39" s="76" t="n">
        <x:f>X41</x:f>
        <x:v>0</x:v>
      </x:c>
      <x:c r="Z39" s="76" t="n">
        <x:f>Y41</x:f>
        <x:v>0</x:v>
      </x:c>
      <x:c r="AA39" s="76" t="n">
        <x:f>Z41</x:f>
        <x:v>0</x:v>
      </x:c>
      <x:c r="AB39" s="76" t="n">
        <x:f>AA41</x:f>
        <x:v>0</x:v>
      </x:c>
      <x:c r="AC39" s="76" t="n">
        <x:f>AB41</x:f>
        <x:v>0</x:v>
      </x:c>
      <x:c r="AD39" s="76" t="n">
        <x:f>AC41</x:f>
        <x:v>0</x:v>
      </x:c>
      <x:c r="AE39" s="76" t="n">
        <x:f>AD41</x:f>
        <x:v>0</x:v>
      </x:c>
      <x:c r="AF39" s="76" t="n">
        <x:f>AE41</x:f>
        <x:v>0</x:v>
      </x:c>
      <x:c r="AG39" s="76" t="n">
        <x:f>AF41</x:f>
        <x:v>0</x:v>
      </x:c>
      <x:c r="AH39" s="76" t="n">
        <x:f>AG41</x:f>
        <x:v>0</x:v>
      </x:c>
      <x:c r="AI39" s="76" t="n">
        <x:f>AH41</x:f>
        <x:v>0.4166666666666667</x:v>
      </x:c>
      <x:c r="AJ39" s="76" t="n">
        <x:f>AI41</x:f>
        <x:v>0.8333333333333334</x:v>
      </x:c>
      <x:c r="AK39" s="76" t="n">
        <x:f>AJ41</x:f>
        <x:v>1.25</x:v>
      </x:c>
      <x:c r="AL39" s="76" t="n">
        <x:f>AK41</x:f>
        <x:v>1.6666666666666667</x:v>
      </x:c>
      <x:c r="AM39" s="76" t="n">
        <x:f>AL41</x:f>
        <x:v>2.0833333333333335</x:v>
      </x:c>
      <x:c r="AN39" s="76" t="n">
        <x:f>AM41</x:f>
        <x:v>2.5</x:v>
      </x:c>
      <x:c r="AO39" s="76" t="n">
        <x:f>AN41</x:f>
        <x:v>2.9166666666666665</x:v>
      </x:c>
      <x:c r="AP39" s="76" t="n">
        <x:f>AO41</x:f>
        <x:v>3.333333333333333</x:v>
      </x:c>
      <x:c r="AQ39" s="76" t="n">
        <x:f>AP41</x:f>
        <x:v>3.7499999999999996</x:v>
      </x:c>
      <x:c r="AR39" s="76" t="n">
        <x:f>AQ41</x:f>
        <x:v>4.166666666666666</x:v>
      </x:c>
      <x:c r="AS39" s="76" t="n">
        <x:f>AR41</x:f>
        <x:v>4.583333333333333</x:v>
      </x:c>
      <x:c r="AT39" s="76" t="n">
        <x:f>AS41</x:f>
        <x:v>5</x:v>
      </x:c>
      <x:c r="AU39" s="76" t="n">
        <x:f>AT41</x:f>
        <x:v>7.083333333333334</x:v>
      </x:c>
      <x:c r="AV39" s="76" t="n">
        <x:f>AU41</x:f>
        <x:v>9.166666666666668</x:v>
      </x:c>
      <x:c r="AW39" s="76" t="n">
        <x:f>AV41</x:f>
        <x:v>11.250000000000002</x:v>
      </x:c>
      <x:c r="AX39" s="76" t="n">
        <x:f>AW41</x:f>
        <x:v>13.333333333333336</x:v>
      </x:c>
      <x:c r="AY39" s="76" t="n">
        <x:f>AX41</x:f>
        <x:v>15.41666666666667</x:v>
      </x:c>
      <x:c r="AZ39" s="76" t="n">
        <x:f>AY41</x:f>
        <x:v>17.500000000000004</x:v>
      </x:c>
      <x:c r="BA39" s="76" t="n">
        <x:f>AZ41</x:f>
        <x:v>19.583333333333336</x:v>
      </x:c>
      <x:c r="BB39" s="76" t="n">
        <x:f>BA41</x:f>
        <x:v>21.666666666666668</x:v>
      </x:c>
      <x:c r="BC39" s="76" t="n">
        <x:f>BB41</x:f>
        <x:v>23.75</x:v>
      </x:c>
      <x:c r="BD39" s="76" t="n">
        <x:f>BC41</x:f>
        <x:v>25.833333333333332</x:v>
      </x:c>
      <x:c r="BE39" s="76" t="n">
        <x:f>BD41</x:f>
        <x:v>27.916666666666664</x:v>
      </x:c>
      <x:c r="BF39" s="76" t="n">
        <x:f>BE41</x:f>
        <x:v>29.999999999999996</x:v>
      </x:c>
      <x:c r="BG39" s="76" t="n">
        <x:f>BF41</x:f>
        <x:v>34.166666666666664</x:v>
      </x:c>
      <x:c r="BH39" s="76" t="n">
        <x:f>BG41</x:f>
        <x:v>38.33333333333333</x:v>
      </x:c>
      <x:c r="BI39" s="76" t="n">
        <x:f>BH41</x:f>
        <x:v>42.49999999999999</x:v>
      </x:c>
      <x:c r="BJ39" s="76" t="n">
        <x:f>BI41</x:f>
        <x:v>46.66666666666666</x:v>
      </x:c>
      <x:c r="BK39" s="76" t="n">
        <x:f>BJ41</x:f>
        <x:v>50.83333333333332</x:v>
      </x:c>
      <x:c r="BL39" s="76" t="n">
        <x:f>BK41</x:f>
        <x:v>54.999999999999986</x:v>
      </x:c>
      <x:c r="BM39" s="76" t="n">
        <x:f>BL41</x:f>
        <x:v>59.16666666666665</x:v>
      </x:c>
      <x:c r="BN39" s="76" t="n">
        <x:f>BM41</x:f>
        <x:v>63.333333333333314</x:v>
      </x:c>
      <x:c r="BO39" s="76" t="n">
        <x:f>BN41</x:f>
        <x:v>67.49999999999999</x:v>
      </x:c>
      <x:c r="BP39" s="76" t="n">
        <x:f>BO41</x:f>
        <x:v>71.66666666666666</x:v>
      </x:c>
      <x:c r="BQ39" s="76" t="n">
        <x:f>BP41</x:f>
        <x:v>75.83333333333333</x:v>
      </x:c>
    </x:row>
    <x:row r="40" ht="23" customHeight="1">
      <x:c r="A40" s="2"/>
      <x:c r="B40" s="2"/>
      <x:c r="C40" s="2" t="str">
        <x:v>Business net additions required</x:v>
      </x:c>
      <x:c r="D40" s="76" t="n">
        <x:f>SUM(J40:U40)</x:f>
        <x:v>0</x:v>
      </x:c>
      <x:c r="E40" s="76" t="n">
        <x:f>SUM(V40:AG40)</x:f>
        <x:v>0</x:v>
      </x:c>
      <x:c r="F40" s="76" t="n">
        <x:f>SUM(AH40:AS40)</x:f>
        <x:v>5</x:v>
      </x:c>
      <x:c r="G40" s="76" t="n">
        <x:f>SUM(AT40:BE40)</x:f>
        <x:v>24.999999999999996</x:v>
      </x:c>
      <x:c r="H40" s="76" t="n">
        <x:f>SUM(BF40:BQ40)</x:f>
        <x:v>49.99999999999999</x:v>
      </x:c>
      <x:c r="I40" s="78" t="n">
        <x:v>0</x:v>
      </x:c>
      <x:c r="J40" s="77" t="n">
        <x:f>('Assumptions'!D13-'Assumptions'!$D$22)/12</x:f>
        <x:v>0</x:v>
      </x:c>
      <x:c r="K40" s="77" t="n">
        <x:f>('Assumptions'!D13-'Assumptions'!$D$22)/12</x:f>
        <x:v>0</x:v>
      </x:c>
      <x:c r="L40" s="77" t="n">
        <x:f>('Assumptions'!D13-'Assumptions'!$D$22)/12</x:f>
        <x:v>0</x:v>
      </x:c>
      <x:c r="M40" s="77" t="n">
        <x:f>('Assumptions'!D13-'Assumptions'!$D$22)/12</x:f>
        <x:v>0</x:v>
      </x:c>
      <x:c r="N40" s="77" t="n">
        <x:f>('Assumptions'!D13-'Assumptions'!$D$22)/12</x:f>
        <x:v>0</x:v>
      </x:c>
      <x:c r="O40" s="77" t="n">
        <x:f>('Assumptions'!D13-'Assumptions'!$D$22)/12</x:f>
        <x:v>0</x:v>
      </x:c>
      <x:c r="P40" s="77" t="n">
        <x:f>('Assumptions'!D13-'Assumptions'!$D$22)/12</x:f>
        <x:v>0</x:v>
      </x:c>
      <x:c r="Q40" s="77" t="n">
        <x:f>('Assumptions'!D13-'Assumptions'!$D$22)/12</x:f>
        <x:v>0</x:v>
      </x:c>
      <x:c r="R40" s="77" t="n">
        <x:f>('Assumptions'!D13-'Assumptions'!$D$22)/12</x:f>
        <x:v>0</x:v>
      </x:c>
      <x:c r="S40" s="77" t="n">
        <x:f>('Assumptions'!D13-'Assumptions'!$D$22)/12</x:f>
        <x:v>0</x:v>
      </x:c>
      <x:c r="T40" s="77" t="n">
        <x:f>('Assumptions'!D13-'Assumptions'!$D$22)/12</x:f>
        <x:v>0</x:v>
      </x:c>
      <x:c r="U40" s="77" t="n">
        <x:f>('Assumptions'!D13-'Assumptions'!$D$22)/12</x:f>
        <x:v>0</x:v>
      </x:c>
      <x:c r="V40" s="77" t="n">
        <x:f>('Assumptions'!E13-'Assumptions'!D13)/12</x:f>
        <x:v>0</x:v>
      </x:c>
      <x:c r="W40" s="77" t="n">
        <x:f>('Assumptions'!E13-'Assumptions'!D13)/12</x:f>
        <x:v>0</x:v>
      </x:c>
      <x:c r="X40" s="77" t="n">
        <x:f>('Assumptions'!E13-'Assumptions'!D13)/12</x:f>
        <x:v>0</x:v>
      </x:c>
      <x:c r="Y40" s="77" t="n">
        <x:f>('Assumptions'!E13-'Assumptions'!D13)/12</x:f>
        <x:v>0</x:v>
      </x:c>
      <x:c r="Z40" s="77" t="n">
        <x:f>('Assumptions'!E13-'Assumptions'!D13)/12</x:f>
        <x:v>0</x:v>
      </x:c>
      <x:c r="AA40" s="77" t="n">
        <x:f>('Assumptions'!E13-'Assumptions'!D13)/12</x:f>
        <x:v>0</x:v>
      </x:c>
      <x:c r="AB40" s="77" t="n">
        <x:f>('Assumptions'!E13-'Assumptions'!D13)/12</x:f>
        <x:v>0</x:v>
      </x:c>
      <x:c r="AC40" s="77" t="n">
        <x:f>('Assumptions'!E13-'Assumptions'!D13)/12</x:f>
        <x:v>0</x:v>
      </x:c>
      <x:c r="AD40" s="77" t="n">
        <x:f>('Assumptions'!E13-'Assumptions'!D13)/12</x:f>
        <x:v>0</x:v>
      </x:c>
      <x:c r="AE40" s="77" t="n">
        <x:f>('Assumptions'!E13-'Assumptions'!D13)/12</x:f>
        <x:v>0</x:v>
      </x:c>
      <x:c r="AF40" s="77" t="n">
        <x:f>('Assumptions'!E13-'Assumptions'!D13)/12</x:f>
        <x:v>0</x:v>
      </x:c>
      <x:c r="AG40" s="77" t="n">
        <x:f>('Assumptions'!E13-'Assumptions'!D13)/12</x:f>
        <x:v>0</x:v>
      </x:c>
      <x:c r="AH40" s="77" t="n">
        <x:f>('Assumptions'!F13-'Assumptions'!E13)/12</x:f>
        <x:v>0.4166666666666667</x:v>
      </x:c>
      <x:c r="AI40" s="77" t="n">
        <x:f>('Assumptions'!F13-'Assumptions'!E13)/12</x:f>
        <x:v>0.4166666666666667</x:v>
      </x:c>
      <x:c r="AJ40" s="77" t="n">
        <x:f>('Assumptions'!F13-'Assumptions'!E13)/12</x:f>
        <x:v>0.4166666666666667</x:v>
      </x:c>
      <x:c r="AK40" s="77" t="n">
        <x:f>('Assumptions'!F13-'Assumptions'!E13)/12</x:f>
        <x:v>0.4166666666666667</x:v>
      </x:c>
      <x:c r="AL40" s="77" t="n">
        <x:f>('Assumptions'!F13-'Assumptions'!E13)/12</x:f>
        <x:v>0.4166666666666667</x:v>
      </x:c>
      <x:c r="AM40" s="77" t="n">
        <x:f>('Assumptions'!F13-'Assumptions'!E13)/12</x:f>
        <x:v>0.4166666666666667</x:v>
      </x:c>
      <x:c r="AN40" s="77" t="n">
        <x:f>('Assumptions'!F13-'Assumptions'!E13)/12</x:f>
        <x:v>0.4166666666666667</x:v>
      </x:c>
      <x:c r="AO40" s="77" t="n">
        <x:f>('Assumptions'!F13-'Assumptions'!E13)/12</x:f>
        <x:v>0.4166666666666667</x:v>
      </x:c>
      <x:c r="AP40" s="77" t="n">
        <x:f>('Assumptions'!F13-'Assumptions'!E13)/12</x:f>
        <x:v>0.4166666666666667</x:v>
      </x:c>
      <x:c r="AQ40" s="77" t="n">
        <x:f>('Assumptions'!F13-'Assumptions'!E13)/12</x:f>
        <x:v>0.4166666666666667</x:v>
      </x:c>
      <x:c r="AR40" s="77" t="n">
        <x:f>('Assumptions'!F13-'Assumptions'!E13)/12</x:f>
        <x:v>0.4166666666666667</x:v>
      </x:c>
      <x:c r="AS40" s="77" t="n">
        <x:f>('Assumptions'!F13-'Assumptions'!E13)/12</x:f>
        <x:v>0.4166666666666667</x:v>
      </x:c>
      <x:c r="AT40" s="77" t="n">
        <x:f>('Assumptions'!G13-'Assumptions'!F13)/12</x:f>
        <x:v>2.0833333333333335</x:v>
      </x:c>
      <x:c r="AU40" s="77" t="n">
        <x:f>('Assumptions'!G13-'Assumptions'!F13)/12</x:f>
        <x:v>2.0833333333333335</x:v>
      </x:c>
      <x:c r="AV40" s="77" t="n">
        <x:f>('Assumptions'!G13-'Assumptions'!F13)/12</x:f>
        <x:v>2.0833333333333335</x:v>
      </x:c>
      <x:c r="AW40" s="77" t="n">
        <x:f>('Assumptions'!G13-'Assumptions'!F13)/12</x:f>
        <x:v>2.0833333333333335</x:v>
      </x:c>
      <x:c r="AX40" s="77" t="n">
        <x:f>('Assumptions'!G13-'Assumptions'!F13)/12</x:f>
        <x:v>2.0833333333333335</x:v>
      </x:c>
      <x:c r="AY40" s="77" t="n">
        <x:f>('Assumptions'!G13-'Assumptions'!F13)/12</x:f>
        <x:v>2.0833333333333335</x:v>
      </x:c>
      <x:c r="AZ40" s="77" t="n">
        <x:f>('Assumptions'!G13-'Assumptions'!F13)/12</x:f>
        <x:v>2.0833333333333335</x:v>
      </x:c>
      <x:c r="BA40" s="77" t="n">
        <x:f>('Assumptions'!G13-'Assumptions'!F13)/12</x:f>
        <x:v>2.0833333333333335</x:v>
      </x:c>
      <x:c r="BB40" s="77" t="n">
        <x:f>('Assumptions'!G13-'Assumptions'!F13)/12</x:f>
        <x:v>2.0833333333333335</x:v>
      </x:c>
      <x:c r="BC40" s="77" t="n">
        <x:f>('Assumptions'!G13-'Assumptions'!F13)/12</x:f>
        <x:v>2.0833333333333335</x:v>
      </x:c>
      <x:c r="BD40" s="77" t="n">
        <x:f>('Assumptions'!G13-'Assumptions'!F13)/12</x:f>
        <x:v>2.0833333333333335</x:v>
      </x:c>
      <x:c r="BE40" s="77" t="n">
        <x:f>('Assumptions'!G13-'Assumptions'!F13)/12</x:f>
        <x:v>2.0833333333333335</x:v>
      </x:c>
      <x:c r="BF40" s="77" t="n">
        <x:f>('Assumptions'!H13-'Assumptions'!G13)/12</x:f>
        <x:v>4.166666666666667</x:v>
      </x:c>
      <x:c r="BG40" s="77" t="n">
        <x:f>('Assumptions'!H13-'Assumptions'!G13)/12</x:f>
        <x:v>4.166666666666667</x:v>
      </x:c>
      <x:c r="BH40" s="77" t="n">
        <x:f>('Assumptions'!H13-'Assumptions'!G13)/12</x:f>
        <x:v>4.166666666666667</x:v>
      </x:c>
      <x:c r="BI40" s="77" t="n">
        <x:f>('Assumptions'!H13-'Assumptions'!G13)/12</x:f>
        <x:v>4.166666666666667</x:v>
      </x:c>
      <x:c r="BJ40" s="77" t="n">
        <x:f>('Assumptions'!H13-'Assumptions'!G13)/12</x:f>
        <x:v>4.166666666666667</x:v>
      </x:c>
      <x:c r="BK40" s="77" t="n">
        <x:f>('Assumptions'!H13-'Assumptions'!G13)/12</x:f>
        <x:v>4.166666666666667</x:v>
      </x:c>
      <x:c r="BL40" s="77" t="n">
        <x:f>('Assumptions'!H13-'Assumptions'!G13)/12</x:f>
        <x:v>4.166666666666667</x:v>
      </x:c>
      <x:c r="BM40" s="77" t="n">
        <x:f>('Assumptions'!H13-'Assumptions'!G13)/12</x:f>
        <x:v>4.166666666666667</x:v>
      </x:c>
      <x:c r="BN40" s="77" t="n">
        <x:f>('Assumptions'!H13-'Assumptions'!G13)/12</x:f>
        <x:v>4.166666666666667</x:v>
      </x:c>
      <x:c r="BO40" s="77" t="n">
        <x:f>('Assumptions'!H13-'Assumptions'!G13)/12</x:f>
        <x:v>4.166666666666667</x:v>
      </x:c>
      <x:c r="BP40" s="77" t="n">
        <x:f>('Assumptions'!H13-'Assumptions'!G13)/12</x:f>
        <x:v>4.166666666666667</x:v>
      </x:c>
      <x:c r="BQ40" s="77" t="n">
        <x:f>('Assumptions'!H13-'Assumptions'!G13)/12</x:f>
        <x:v>4.166666666666667</x:v>
      </x:c>
    </x:row>
    <x:row r="41" ht="23" customHeight="1">
      <x:c r="A41" s="2"/>
      <x:c r="B41" s="2"/>
      <x:c r="C41" s="2" t="str">
        <x:v>Business closing clients</x:v>
      </x:c>
      <x:c r="D41" s="76" t="n">
        <x:f>U41</x:f>
        <x:v>0</x:v>
      </x:c>
      <x:c r="E41" s="76" t="n">
        <x:f>AG41</x:f>
        <x:v>0</x:v>
      </x:c>
      <x:c r="F41" s="76" t="n">
        <x:f>AS41</x:f>
        <x:v>5</x:v>
      </x:c>
      <x:c r="G41" s="76" t="n">
        <x:f>BE41</x:f>
        <x:v>29.999999999999996</x:v>
      </x:c>
      <x:c r="H41" s="76" t="n">
        <x:f>BQ41</x:f>
        <x:v>80</x:v>
      </x:c>
      <x:c r="I41" s="76" t="n">
        <x:f>I39</x:f>
        <x:v>0</x:v>
      </x:c>
      <x:c r="J41" s="76" t="n">
        <x:f>SUM(J39:J40)</x:f>
        <x:v>0</x:v>
      </x:c>
      <x:c r="K41" s="76" t="n">
        <x:f>SUM(K39:K40)</x:f>
        <x:v>0</x:v>
      </x:c>
      <x:c r="L41" s="76" t="n">
        <x:f>SUM(L39:L40)</x:f>
        <x:v>0</x:v>
      </x:c>
      <x:c r="M41" s="76" t="n">
        <x:f>SUM(M39:M40)</x:f>
        <x:v>0</x:v>
      </x:c>
      <x:c r="N41" s="76" t="n">
        <x:f>SUM(N39:N40)</x:f>
        <x:v>0</x:v>
      </x:c>
      <x:c r="O41" s="76" t="n">
        <x:f>SUM(O39:O40)</x:f>
        <x:v>0</x:v>
      </x:c>
      <x:c r="P41" s="76" t="n">
        <x:f>SUM(P39:P40)</x:f>
        <x:v>0</x:v>
      </x:c>
      <x:c r="Q41" s="76" t="n">
        <x:f>SUM(Q39:Q40)</x:f>
        <x:v>0</x:v>
      </x:c>
      <x:c r="R41" s="76" t="n">
        <x:f>SUM(R39:R40)</x:f>
        <x:v>0</x:v>
      </x:c>
      <x:c r="S41" s="76" t="n">
        <x:f>SUM(S39:S40)</x:f>
        <x:v>0</x:v>
      </x:c>
      <x:c r="T41" s="76" t="n">
        <x:f>SUM(T39:T40)</x:f>
        <x:v>0</x:v>
      </x:c>
      <x:c r="U41" s="76" t="n">
        <x:f>SUM(U39:U40)</x:f>
        <x:v>0</x:v>
      </x:c>
      <x:c r="V41" s="76" t="n">
        <x:f>SUM(V39:V40)</x:f>
        <x:v>0</x:v>
      </x:c>
      <x:c r="W41" s="76" t="n">
        <x:f>SUM(W39:W40)</x:f>
        <x:v>0</x:v>
      </x:c>
      <x:c r="X41" s="76" t="n">
        <x:f>SUM(X39:X40)</x:f>
        <x:v>0</x:v>
      </x:c>
      <x:c r="Y41" s="76" t="n">
        <x:f>SUM(Y39:Y40)</x:f>
        <x:v>0</x:v>
      </x:c>
      <x:c r="Z41" s="76" t="n">
        <x:f>SUM(Z39:Z40)</x:f>
        <x:v>0</x:v>
      </x:c>
      <x:c r="AA41" s="76" t="n">
        <x:f>SUM(AA39:AA40)</x:f>
        <x:v>0</x:v>
      </x:c>
      <x:c r="AB41" s="76" t="n">
        <x:f>SUM(AB39:AB40)</x:f>
        <x:v>0</x:v>
      </x:c>
      <x:c r="AC41" s="76" t="n">
        <x:f>SUM(AC39:AC40)</x:f>
        <x:v>0</x:v>
      </x:c>
      <x:c r="AD41" s="76" t="n">
        <x:f>SUM(AD39:AD40)</x:f>
        <x:v>0</x:v>
      </x:c>
      <x:c r="AE41" s="76" t="n">
        <x:f>SUM(AE39:AE40)</x:f>
        <x:v>0</x:v>
      </x:c>
      <x:c r="AF41" s="76" t="n">
        <x:f>SUM(AF39:AF40)</x:f>
        <x:v>0</x:v>
      </x:c>
      <x:c r="AG41" s="76" t="n">
        <x:f>SUM(AG39:AG40)</x:f>
        <x:v>0</x:v>
      </x:c>
      <x:c r="AH41" s="76" t="n">
        <x:f>SUM(AH39:AH40)</x:f>
        <x:v>0.4166666666666667</x:v>
      </x:c>
      <x:c r="AI41" s="76" t="n">
        <x:f>SUM(AI39:AI40)</x:f>
        <x:v>0.8333333333333334</x:v>
      </x:c>
      <x:c r="AJ41" s="76" t="n">
        <x:f>SUM(AJ39:AJ40)</x:f>
        <x:v>1.25</x:v>
      </x:c>
      <x:c r="AK41" s="76" t="n">
        <x:f>SUM(AK39:AK40)</x:f>
        <x:v>1.6666666666666667</x:v>
      </x:c>
      <x:c r="AL41" s="76" t="n">
        <x:f>SUM(AL39:AL40)</x:f>
        <x:v>2.0833333333333335</x:v>
      </x:c>
      <x:c r="AM41" s="76" t="n">
        <x:f>SUM(AM39:AM40)</x:f>
        <x:v>2.5</x:v>
      </x:c>
      <x:c r="AN41" s="76" t="n">
        <x:f>SUM(AN39:AN40)</x:f>
        <x:v>2.9166666666666665</x:v>
      </x:c>
      <x:c r="AO41" s="76" t="n">
        <x:f>SUM(AO39:AO40)</x:f>
        <x:v>3.333333333333333</x:v>
      </x:c>
      <x:c r="AP41" s="76" t="n">
        <x:f>SUM(AP39:AP40)</x:f>
        <x:v>3.7499999999999996</x:v>
      </x:c>
      <x:c r="AQ41" s="76" t="n">
        <x:f>SUM(AQ39:AQ40)</x:f>
        <x:v>4.166666666666666</x:v>
      </x:c>
      <x:c r="AR41" s="76" t="n">
        <x:f>SUM(AR39:AR40)</x:f>
        <x:v>4.583333333333333</x:v>
      </x:c>
      <x:c r="AS41" s="76" t="n">
        <x:f>SUM(AS39:AS40)</x:f>
        <x:v>5</x:v>
      </x:c>
      <x:c r="AT41" s="76" t="n">
        <x:f>SUM(AT39:AT40)</x:f>
        <x:v>7.083333333333334</x:v>
      </x:c>
      <x:c r="AU41" s="76" t="n">
        <x:f>SUM(AU39:AU40)</x:f>
        <x:v>9.166666666666668</x:v>
      </x:c>
      <x:c r="AV41" s="76" t="n">
        <x:f>SUM(AV39:AV40)</x:f>
        <x:v>11.250000000000002</x:v>
      </x:c>
      <x:c r="AW41" s="76" t="n">
        <x:f>SUM(AW39:AW40)</x:f>
        <x:v>13.333333333333336</x:v>
      </x:c>
      <x:c r="AX41" s="76" t="n">
        <x:f>SUM(AX39:AX40)</x:f>
        <x:v>15.41666666666667</x:v>
      </x:c>
      <x:c r="AY41" s="76" t="n">
        <x:f>SUM(AY39:AY40)</x:f>
        <x:v>17.500000000000004</x:v>
      </x:c>
      <x:c r="AZ41" s="76" t="n">
        <x:f>SUM(AZ39:AZ40)</x:f>
        <x:v>19.583333333333336</x:v>
      </x:c>
      <x:c r="BA41" s="76" t="n">
        <x:f>SUM(BA39:BA40)</x:f>
        <x:v>21.666666666666668</x:v>
      </x:c>
      <x:c r="BB41" s="76" t="n">
        <x:f>SUM(BB39:BB40)</x:f>
        <x:v>23.75</x:v>
      </x:c>
      <x:c r="BC41" s="76" t="n">
        <x:f>SUM(BC39:BC40)</x:f>
        <x:v>25.833333333333332</x:v>
      </x:c>
      <x:c r="BD41" s="76" t="n">
        <x:f>SUM(BD39:BD40)</x:f>
        <x:v>27.916666666666664</x:v>
      </x:c>
      <x:c r="BE41" s="76" t="n">
        <x:f>SUM(BE39:BE40)</x:f>
        <x:v>29.999999999999996</x:v>
      </x:c>
      <x:c r="BF41" s="76" t="n">
        <x:f>SUM(BF39:BF40)</x:f>
        <x:v>34.166666666666664</x:v>
      </x:c>
      <x:c r="BG41" s="76" t="n">
        <x:f>SUM(BG39:BG40)</x:f>
        <x:v>38.33333333333333</x:v>
      </x:c>
      <x:c r="BH41" s="76" t="n">
        <x:f>SUM(BH39:BH40)</x:f>
        <x:v>42.49999999999999</x:v>
      </x:c>
      <x:c r="BI41" s="76" t="n">
        <x:f>SUM(BI39:BI40)</x:f>
        <x:v>46.66666666666666</x:v>
      </x:c>
      <x:c r="BJ41" s="76" t="n">
        <x:f>SUM(BJ39:BJ40)</x:f>
        <x:v>50.83333333333332</x:v>
      </x:c>
      <x:c r="BK41" s="76" t="n">
        <x:f>SUM(BK39:BK40)</x:f>
        <x:v>54.999999999999986</x:v>
      </x:c>
      <x:c r="BL41" s="76" t="n">
        <x:f>SUM(BL39:BL40)</x:f>
        <x:v>59.16666666666665</x:v>
      </x:c>
      <x:c r="BM41" s="76" t="n">
        <x:f>SUM(BM39:BM40)</x:f>
        <x:v>63.333333333333314</x:v>
      </x:c>
      <x:c r="BN41" s="76" t="n">
        <x:f>SUM(BN39:BN40)</x:f>
        <x:v>67.49999999999999</x:v>
      </x:c>
      <x:c r="BO41" s="76" t="n">
        <x:f>SUM(BO39:BO40)</x:f>
        <x:v>71.66666666666666</x:v>
      </x:c>
      <x:c r="BP41" s="76" t="n">
        <x:f>SUM(BP39:BP40)</x:f>
        <x:v>75.83333333333333</x:v>
      </x:c>
      <x:c r="BQ41" s="76" t="n">
        <x:f>SUM(BQ39:BQ40)</x:f>
        <x:v>80</x:v>
      </x:c>
    </x:row>
    <x:row r="42" ht="23" customHeight="1">
      <x:c r="A42" s="2"/>
      <x:c r="B42" s="2"/>
      <x:c r="C42" s="2" t="str">
        <x:v>Business average billable clients</x:v>
      </x:c>
      <x:c r="D42" s="76" t="n">
        <x:f>IF(COUNT(J42:U42)=12,AVERAGE(J42:U42),"n.a.")</x:f>
        <x:v>0</x:v>
      </x:c>
      <x:c r="E42" s="76" t="n">
        <x:f>IF(COUNT(V42:AG42)=12,AVERAGE(V42:AG42),"n.a.")</x:f>
        <x:v>0</x:v>
      </x:c>
      <x:c r="F42" s="76" t="n">
        <x:f>IF(COUNT(AH42:AS42)=12,AVERAGE(AH42:AS42),"n.a.")</x:f>
        <x:v>2.5</x:v>
      </x:c>
      <x:c r="G42" s="76" t="n">
        <x:f>IF(COUNT(AT42:BE42)=12,AVERAGE(AT42:BE42),"n.a.")</x:f>
        <x:v>17.5</x:v>
      </x:c>
      <x:c r="H42" s="76" t="n">
        <x:f>IF(COUNT(BF42:BQ42)=12,AVERAGE(BF42:BQ42),"n.a.")</x:f>
        <x:v>54.99999999999999</x:v>
      </x:c>
      <x:c r="I42" s="76" t="n">
        <x:f>I39</x:f>
        <x:v>0</x:v>
      </x:c>
      <x:c r="J42" s="77" t="n">
        <x:f>J39+J40*'Assumptions'!D15</x:f>
        <x:v>0</x:v>
      </x:c>
      <x:c r="K42" s="77" t="n">
        <x:f>K39+K40*'Assumptions'!D15</x:f>
        <x:v>0</x:v>
      </x:c>
      <x:c r="L42" s="77" t="n">
        <x:f>L39+L40*'Assumptions'!D15</x:f>
        <x:v>0</x:v>
      </x:c>
      <x:c r="M42" s="77" t="n">
        <x:f>M39+M40*'Assumptions'!D15</x:f>
        <x:v>0</x:v>
      </x:c>
      <x:c r="N42" s="77" t="n">
        <x:f>N39+N40*'Assumptions'!D15</x:f>
        <x:v>0</x:v>
      </x:c>
      <x:c r="O42" s="77" t="n">
        <x:f>O39+O40*'Assumptions'!D15</x:f>
        <x:v>0</x:v>
      </x:c>
      <x:c r="P42" s="77" t="n">
        <x:f>P39+P40*'Assumptions'!D15</x:f>
        <x:v>0</x:v>
      </x:c>
      <x:c r="Q42" s="77" t="n">
        <x:f>Q39+Q40*'Assumptions'!D15</x:f>
        <x:v>0</x:v>
      </x:c>
      <x:c r="R42" s="77" t="n">
        <x:f>R39+R40*'Assumptions'!D15</x:f>
        <x:v>0</x:v>
      </x:c>
      <x:c r="S42" s="77" t="n">
        <x:f>S39+S40*'Assumptions'!D15</x:f>
        <x:v>0</x:v>
      </x:c>
      <x:c r="T42" s="77" t="n">
        <x:f>T39+T40*'Assumptions'!D15</x:f>
        <x:v>0</x:v>
      </x:c>
      <x:c r="U42" s="77" t="n">
        <x:f>U39+U40*'Assumptions'!D15</x:f>
        <x:v>0</x:v>
      </x:c>
      <x:c r="V42" s="77" t="n">
        <x:f>V39+V40*'Assumptions'!E15</x:f>
        <x:v>0</x:v>
      </x:c>
      <x:c r="W42" s="77" t="n">
        <x:f>W39+W40*'Assumptions'!E15</x:f>
        <x:v>0</x:v>
      </x:c>
      <x:c r="X42" s="77" t="n">
        <x:f>X39+X40*'Assumptions'!E15</x:f>
        <x:v>0</x:v>
      </x:c>
      <x:c r="Y42" s="77" t="n">
        <x:f>Y39+Y40*'Assumptions'!E15</x:f>
        <x:v>0</x:v>
      </x:c>
      <x:c r="Z42" s="77" t="n">
        <x:f>Z39+Z40*'Assumptions'!E15</x:f>
        <x:v>0</x:v>
      </x:c>
      <x:c r="AA42" s="77" t="n">
        <x:f>AA39+AA40*'Assumptions'!E15</x:f>
        <x:v>0</x:v>
      </x:c>
      <x:c r="AB42" s="77" t="n">
        <x:f>AB39+AB40*'Assumptions'!E15</x:f>
        <x:v>0</x:v>
      </x:c>
      <x:c r="AC42" s="77" t="n">
        <x:f>AC39+AC40*'Assumptions'!E15</x:f>
        <x:v>0</x:v>
      </x:c>
      <x:c r="AD42" s="77" t="n">
        <x:f>AD39+AD40*'Assumptions'!E15</x:f>
        <x:v>0</x:v>
      </x:c>
      <x:c r="AE42" s="77" t="n">
        <x:f>AE39+AE40*'Assumptions'!E15</x:f>
        <x:v>0</x:v>
      </x:c>
      <x:c r="AF42" s="77" t="n">
        <x:f>AF39+AF40*'Assumptions'!E15</x:f>
        <x:v>0</x:v>
      </x:c>
      <x:c r="AG42" s="77" t="n">
        <x:f>AG39+AG40*'Assumptions'!E15</x:f>
        <x:v>0</x:v>
      </x:c>
      <x:c r="AH42" s="77" t="n">
        <x:f>AH39+AH40*'Assumptions'!F15</x:f>
        <x:v>0.20833333333333334</x:v>
      </x:c>
      <x:c r="AI42" s="77" t="n">
        <x:f>AI39+AI40*'Assumptions'!F15</x:f>
        <x:v>0.625</x:v>
      </x:c>
      <x:c r="AJ42" s="77" t="n">
        <x:f>AJ39+AJ40*'Assumptions'!F15</x:f>
        <x:v>1.0416666666666667</x:v>
      </x:c>
      <x:c r="AK42" s="77" t="n">
        <x:f>AK39+AK40*'Assumptions'!F15</x:f>
        <x:v>1.4583333333333333</x:v>
      </x:c>
      <x:c r="AL42" s="77" t="n">
        <x:f>AL39+AL40*'Assumptions'!F15</x:f>
        <x:v>1.875</x:v>
      </x:c>
      <x:c r="AM42" s="77" t="n">
        <x:f>AM39+AM40*'Assumptions'!F15</x:f>
        <x:v>2.291666666666667</x:v>
      </x:c>
      <x:c r="AN42" s="77" t="n">
        <x:f>AN39+AN40*'Assumptions'!F15</x:f>
        <x:v>2.7083333333333335</x:v>
      </x:c>
      <x:c r="AO42" s="77" t="n">
        <x:f>AO39+AO40*'Assumptions'!F15</x:f>
        <x:v>3.125</x:v>
      </x:c>
      <x:c r="AP42" s="77" t="n">
        <x:f>AP39+AP40*'Assumptions'!F15</x:f>
        <x:v>3.5416666666666665</x:v>
      </x:c>
      <x:c r="AQ42" s="77" t="n">
        <x:f>AQ39+AQ40*'Assumptions'!F15</x:f>
        <x:v>3.958333333333333</x:v>
      </x:c>
      <x:c r="AR42" s="77" t="n">
        <x:f>AR39+AR40*'Assumptions'!F15</x:f>
        <x:v>4.374999999999999</x:v>
      </x:c>
      <x:c r="AS42" s="77" t="n">
        <x:f>AS39+AS40*'Assumptions'!F15</x:f>
        <x:v>4.791666666666666</x:v>
      </x:c>
      <x:c r="AT42" s="77" t="n">
        <x:f>AT39+AT40*'Assumptions'!G15</x:f>
        <x:v>6.041666666666667</x:v>
      </x:c>
      <x:c r="AU42" s="77" t="n">
        <x:f>AU39+AU40*'Assumptions'!G15</x:f>
        <x:v>8.125</x:v>
      </x:c>
      <x:c r="AV42" s="77" t="n">
        <x:f>AV39+AV40*'Assumptions'!G15</x:f>
        <x:v>10.208333333333334</x:v>
      </x:c>
      <x:c r="AW42" s="77" t="n">
        <x:f>AW39+AW40*'Assumptions'!G15</x:f>
        <x:v>12.291666666666668</x:v>
      </x:c>
      <x:c r="AX42" s="77" t="n">
        <x:f>AX39+AX40*'Assumptions'!G15</x:f>
        <x:v>14.375000000000002</x:v>
      </x:c>
      <x:c r="AY42" s="77" t="n">
        <x:f>AY39+AY40*'Assumptions'!G15</x:f>
        <x:v>16.458333333333336</x:v>
      </x:c>
      <x:c r="AZ42" s="77" t="n">
        <x:f>AZ39+AZ40*'Assumptions'!G15</x:f>
        <x:v>18.54166666666667</x:v>
      </x:c>
      <x:c r="BA42" s="77" t="n">
        <x:f>BA39+BA40*'Assumptions'!G15</x:f>
        <x:v>20.625000000000004</x:v>
      </x:c>
      <x:c r="BB42" s="77" t="n">
        <x:f>BB39+BB40*'Assumptions'!G15</x:f>
        <x:v>22.708333333333336</x:v>
      </x:c>
      <x:c r="BC42" s="77" t="n">
        <x:f>BC39+BC40*'Assumptions'!G15</x:f>
        <x:v>24.791666666666668</x:v>
      </x:c>
      <x:c r="BD42" s="77" t="n">
        <x:f>BD39+BD40*'Assumptions'!G15</x:f>
        <x:v>26.875</x:v>
      </x:c>
      <x:c r="BE42" s="77" t="n">
        <x:f>BE39+BE40*'Assumptions'!G15</x:f>
        <x:v>28.958333333333332</x:v>
      </x:c>
      <x:c r="BF42" s="77" t="n">
        <x:f>BF39+BF40*'Assumptions'!H15</x:f>
        <x:v>32.08333333333333</x:v>
      </x:c>
      <x:c r="BG42" s="77" t="n">
        <x:f>BG39+BG40*'Assumptions'!H15</x:f>
        <x:v>36.25</x:v>
      </x:c>
      <x:c r="BH42" s="77" t="n">
        <x:f>BH39+BH40*'Assumptions'!H15</x:f>
        <x:v>40.416666666666664</x:v>
      </x:c>
      <x:c r="BI42" s="77" t="n">
        <x:f>BI39+BI40*'Assumptions'!H15</x:f>
        <x:v>44.58333333333333</x:v>
      </x:c>
      <x:c r="BJ42" s="77" t="n">
        <x:f>BJ39+BJ40*'Assumptions'!H15</x:f>
        <x:v>48.74999999999999</x:v>
      </x:c>
      <x:c r="BK42" s="77" t="n">
        <x:f>BK39+BK40*'Assumptions'!H15</x:f>
        <x:v>52.91666666666666</x:v>
      </x:c>
      <x:c r="BL42" s="77" t="n">
        <x:f>BL39+BL40*'Assumptions'!H15</x:f>
        <x:v>57.08333333333332</x:v>
      </x:c>
      <x:c r="BM42" s="77" t="n">
        <x:f>BM39+BM40*'Assumptions'!H15</x:f>
        <x:v>61.249999999999986</x:v>
      </x:c>
      <x:c r="BN42" s="77" t="n">
        <x:f>BN39+BN40*'Assumptions'!H15</x:f>
        <x:v>65.41666666666664</x:v>
      </x:c>
      <x:c r="BO42" s="77" t="n">
        <x:f>BO39+BO40*'Assumptions'!H15</x:f>
        <x:v>69.58333333333331</x:v>
      </x:c>
      <x:c r="BP42" s="77" t="n">
        <x:f>BP39+BP40*'Assumptions'!H15</x:f>
        <x:v>73.74999999999999</x:v>
      </x:c>
      <x:c r="BQ42" s="77" t="n">
        <x:f>BQ39+BQ40*'Assumptions'!H15</x:f>
        <x:v>77.91666666666666</x:v>
      </x:c>
    </x:row>
    <x:row r="43" ht="23" customHeight="1">
      <x:c r="A43" s="2"/>
      <x:c r="B43" s="2"/>
      <x:c r="C43" s="2" t="str">
        <x:v>Business annual contract ($)</x:v>
      </x:c>
      <x:c r="D43" s="69" t="n">
        <x:f>IF(COUNT(J43:U43)=12,AVERAGE(J43:U43),"n.a.")</x:f>
        <x:v>200000</x:v>
      </x:c>
      <x:c r="E43" s="69" t="n">
        <x:f>IF(COUNT(V43:AG43)=12,AVERAGE(V43:AG43),"n.a.")</x:f>
        <x:v>200000</x:v>
      </x:c>
      <x:c r="F43" s="69" t="n">
        <x:f>IF(COUNT(AH43:AS43)=12,AVERAGE(AH43:AS43),"n.a.")</x:f>
        <x:v>200000</x:v>
      </x:c>
      <x:c r="G43" s="69" t="n">
        <x:f>IF(COUNT(AT43:BE43)=12,AVERAGE(AT43:BE43),"n.a.")</x:f>
        <x:v>200000</x:v>
      </x:c>
      <x:c r="H43" s="69" t="n">
        <x:f>IF(COUNT(BF43:BQ43)=12,AVERAGE(BF43:BQ43),"n.a.")</x:f>
        <x:v>200000</x:v>
      </x:c>
      <x:c r="I43" s="39" t="n">
        <x:f>'Assumptions'!D14</x:f>
        <x:v>200000</x:v>
      </x:c>
      <x:c r="J43" s="39" t="n">
        <x:f>'Assumptions'!D14</x:f>
        <x:v>200000</x:v>
      </x:c>
      <x:c r="K43" s="39" t="n">
        <x:f>'Assumptions'!D14</x:f>
        <x:v>200000</x:v>
      </x:c>
      <x:c r="L43" s="39" t="n">
        <x:f>'Assumptions'!D14</x:f>
        <x:v>200000</x:v>
      </x:c>
      <x:c r="M43" s="39" t="n">
        <x:f>'Assumptions'!D14</x:f>
        <x:v>200000</x:v>
      </x:c>
      <x:c r="N43" s="39" t="n">
        <x:f>'Assumptions'!D14</x:f>
        <x:v>200000</x:v>
      </x:c>
      <x:c r="O43" s="39" t="n">
        <x:f>'Assumptions'!D14</x:f>
        <x:v>200000</x:v>
      </x:c>
      <x:c r="P43" s="39" t="n">
        <x:f>'Assumptions'!D14</x:f>
        <x:v>200000</x:v>
      </x:c>
      <x:c r="Q43" s="39" t="n">
        <x:f>'Assumptions'!D14</x:f>
        <x:v>200000</x:v>
      </x:c>
      <x:c r="R43" s="39" t="n">
        <x:f>'Assumptions'!D14</x:f>
        <x:v>200000</x:v>
      </x:c>
      <x:c r="S43" s="39" t="n">
        <x:f>'Assumptions'!D14</x:f>
        <x:v>200000</x:v>
      </x:c>
      <x:c r="T43" s="39" t="n">
        <x:f>'Assumptions'!D14</x:f>
        <x:v>200000</x:v>
      </x:c>
      <x:c r="U43" s="39" t="n">
        <x:f>'Assumptions'!D14</x:f>
        <x:v>200000</x:v>
      </x:c>
      <x:c r="V43" s="39" t="n">
        <x:f>'Assumptions'!E14</x:f>
        <x:v>200000</x:v>
      </x:c>
      <x:c r="W43" s="39" t="n">
        <x:f>'Assumptions'!E14</x:f>
        <x:v>200000</x:v>
      </x:c>
      <x:c r="X43" s="39" t="n">
        <x:f>'Assumptions'!E14</x:f>
        <x:v>200000</x:v>
      </x:c>
      <x:c r="Y43" s="39" t="n">
        <x:f>'Assumptions'!E14</x:f>
        <x:v>200000</x:v>
      </x:c>
      <x:c r="Z43" s="39" t="n">
        <x:f>'Assumptions'!E14</x:f>
        <x:v>200000</x:v>
      </x:c>
      <x:c r="AA43" s="39" t="n">
        <x:f>'Assumptions'!E14</x:f>
        <x:v>200000</x:v>
      </x:c>
      <x:c r="AB43" s="39" t="n">
        <x:f>'Assumptions'!E14</x:f>
        <x:v>200000</x:v>
      </x:c>
      <x:c r="AC43" s="39" t="n">
        <x:f>'Assumptions'!E14</x:f>
        <x:v>200000</x:v>
      </x:c>
      <x:c r="AD43" s="39" t="n">
        <x:f>'Assumptions'!E14</x:f>
        <x:v>200000</x:v>
      </x:c>
      <x:c r="AE43" s="39" t="n">
        <x:f>'Assumptions'!E14</x:f>
        <x:v>200000</x:v>
      </x:c>
      <x:c r="AF43" s="39" t="n">
        <x:f>'Assumptions'!E14</x:f>
        <x:v>200000</x:v>
      </x:c>
      <x:c r="AG43" s="39" t="n">
        <x:f>'Assumptions'!E14</x:f>
        <x:v>200000</x:v>
      </x:c>
      <x:c r="AH43" s="39" t="n">
        <x:f>'Assumptions'!F14</x:f>
        <x:v>200000</x:v>
      </x:c>
      <x:c r="AI43" s="39" t="n">
        <x:f>'Assumptions'!F14</x:f>
        <x:v>200000</x:v>
      </x:c>
      <x:c r="AJ43" s="39" t="n">
        <x:f>'Assumptions'!F14</x:f>
        <x:v>200000</x:v>
      </x:c>
      <x:c r="AK43" s="39" t="n">
        <x:f>'Assumptions'!F14</x:f>
        <x:v>200000</x:v>
      </x:c>
      <x:c r="AL43" s="39" t="n">
        <x:f>'Assumptions'!F14</x:f>
        <x:v>200000</x:v>
      </x:c>
      <x:c r="AM43" s="39" t="n">
        <x:f>'Assumptions'!F14</x:f>
        <x:v>200000</x:v>
      </x:c>
      <x:c r="AN43" s="39" t="n">
        <x:f>'Assumptions'!F14</x:f>
        <x:v>200000</x:v>
      </x:c>
      <x:c r="AO43" s="39" t="n">
        <x:f>'Assumptions'!F14</x:f>
        <x:v>200000</x:v>
      </x:c>
      <x:c r="AP43" s="39" t="n">
        <x:f>'Assumptions'!F14</x:f>
        <x:v>200000</x:v>
      </x:c>
      <x:c r="AQ43" s="39" t="n">
        <x:f>'Assumptions'!F14</x:f>
        <x:v>200000</x:v>
      </x:c>
      <x:c r="AR43" s="39" t="n">
        <x:f>'Assumptions'!F14</x:f>
        <x:v>200000</x:v>
      </x:c>
      <x:c r="AS43" s="39" t="n">
        <x:f>'Assumptions'!F14</x:f>
        <x:v>200000</x:v>
      </x:c>
      <x:c r="AT43" s="39" t="n">
        <x:f>'Assumptions'!G14</x:f>
        <x:v>200000</x:v>
      </x:c>
      <x:c r="AU43" s="39" t="n">
        <x:f>'Assumptions'!G14</x:f>
        <x:v>200000</x:v>
      </x:c>
      <x:c r="AV43" s="39" t="n">
        <x:f>'Assumptions'!G14</x:f>
        <x:v>200000</x:v>
      </x:c>
      <x:c r="AW43" s="39" t="n">
        <x:f>'Assumptions'!G14</x:f>
        <x:v>200000</x:v>
      </x:c>
      <x:c r="AX43" s="39" t="n">
        <x:f>'Assumptions'!G14</x:f>
        <x:v>200000</x:v>
      </x:c>
      <x:c r="AY43" s="39" t="n">
        <x:f>'Assumptions'!G14</x:f>
        <x:v>200000</x:v>
      </x:c>
      <x:c r="AZ43" s="39" t="n">
        <x:f>'Assumptions'!G14</x:f>
        <x:v>200000</x:v>
      </x:c>
      <x:c r="BA43" s="39" t="n">
        <x:f>'Assumptions'!G14</x:f>
        <x:v>200000</x:v>
      </x:c>
      <x:c r="BB43" s="39" t="n">
        <x:f>'Assumptions'!G14</x:f>
        <x:v>200000</x:v>
      </x:c>
      <x:c r="BC43" s="39" t="n">
        <x:f>'Assumptions'!G14</x:f>
        <x:v>200000</x:v>
      </x:c>
      <x:c r="BD43" s="39" t="n">
        <x:f>'Assumptions'!G14</x:f>
        <x:v>200000</x:v>
      </x:c>
      <x:c r="BE43" s="39" t="n">
        <x:f>'Assumptions'!G14</x:f>
        <x:v>200000</x:v>
      </x:c>
      <x:c r="BF43" s="39" t="n">
        <x:f>'Assumptions'!H14</x:f>
        <x:v>200000</x:v>
      </x:c>
      <x:c r="BG43" s="39" t="n">
        <x:f>'Assumptions'!H14</x:f>
        <x:v>200000</x:v>
      </x:c>
      <x:c r="BH43" s="39" t="n">
        <x:f>'Assumptions'!H14</x:f>
        <x:v>200000</x:v>
      </x:c>
      <x:c r="BI43" s="39" t="n">
        <x:f>'Assumptions'!H14</x:f>
        <x:v>200000</x:v>
      </x:c>
      <x:c r="BJ43" s="39" t="n">
        <x:f>'Assumptions'!H14</x:f>
        <x:v>200000</x:v>
      </x:c>
      <x:c r="BK43" s="39" t="n">
        <x:f>'Assumptions'!H14</x:f>
        <x:v>200000</x:v>
      </x:c>
      <x:c r="BL43" s="39" t="n">
        <x:f>'Assumptions'!H14</x:f>
        <x:v>200000</x:v>
      </x:c>
      <x:c r="BM43" s="39" t="n">
        <x:f>'Assumptions'!H14</x:f>
        <x:v>200000</x:v>
      </x:c>
      <x:c r="BN43" s="39" t="n">
        <x:f>'Assumptions'!H14</x:f>
        <x:v>200000</x:v>
      </x:c>
      <x:c r="BO43" s="39" t="n">
        <x:f>'Assumptions'!H14</x:f>
        <x:v>200000</x:v>
      </x:c>
      <x:c r="BP43" s="39" t="n">
        <x:f>'Assumptions'!H14</x:f>
        <x:v>200000</x:v>
      </x:c>
      <x:c r="BQ43" s="39" t="n">
        <x:f>'Assumptions'!H14</x:f>
        <x:v>200000</x:v>
      </x:c>
    </x:row>
    <x:row r="44" ht="25" customHeight="1">
      <x:c r="A44" s="2"/>
      <x:c r="B44" s="2"/>
      <x:c r="C44" s="84" t="str">
        <x:v>Business revenue earned in period</x:v>
      </x:c>
      <x:c r="D44" s="85" t="n">
        <x:f>SUM(J44:U44)</x:f>
        <x:v>0</x:v>
      </x:c>
      <x:c r="E44" s="85" t="n">
        <x:f>SUM(V44:AG44)</x:f>
        <x:v>0</x:v>
      </x:c>
      <x:c r="F44" s="85" t="n">
        <x:f>SUM(AH44:AS44)</x:f>
        <x:v>500000</x:v>
      </x:c>
      <x:c r="G44" s="85" t="n">
        <x:f>SUM(AT44:BE44)</x:f>
        <x:v>3500000</x:v>
      </x:c>
      <x:c r="H44" s="85" t="n">
        <x:f>SUM(BF44:BQ44)</x:f>
        <x:v>10999999.999999996</x:v>
      </x:c>
      <x:c r="I44" s="85" t="n">
        <x:f>I42*I43/12</x:f>
        <x:v>0</x:v>
      </x:c>
      <x:c r="J44" s="85" t="n">
        <x:f>J42*J43/12</x:f>
        <x:v>0</x:v>
      </x:c>
      <x:c r="K44" s="85" t="n">
        <x:f>K42*K43/12</x:f>
        <x:v>0</x:v>
      </x:c>
      <x:c r="L44" s="85" t="n">
        <x:f>L42*L43/12</x:f>
        <x:v>0</x:v>
      </x:c>
      <x:c r="M44" s="85" t="n">
        <x:f>M42*M43/12</x:f>
        <x:v>0</x:v>
      </x:c>
      <x:c r="N44" s="85" t="n">
        <x:f>N42*N43/12</x:f>
        <x:v>0</x:v>
      </x:c>
      <x:c r="O44" s="85" t="n">
        <x:f>O42*O43/12</x:f>
        <x:v>0</x:v>
      </x:c>
      <x:c r="P44" s="85" t="n">
        <x:f>P42*P43/12</x:f>
        <x:v>0</x:v>
      </x:c>
      <x:c r="Q44" s="85" t="n">
        <x:f>Q42*Q43/12</x:f>
        <x:v>0</x:v>
      </x:c>
      <x:c r="R44" s="85" t="n">
        <x:f>R42*R43/12</x:f>
        <x:v>0</x:v>
      </x:c>
      <x:c r="S44" s="85" t="n">
        <x:f>S42*S43/12</x:f>
        <x:v>0</x:v>
      </x:c>
      <x:c r="T44" s="85" t="n">
        <x:f>T42*T43/12</x:f>
        <x:v>0</x:v>
      </x:c>
      <x:c r="U44" s="85" t="n">
        <x:f>U42*U43/12</x:f>
        <x:v>0</x:v>
      </x:c>
      <x:c r="V44" s="85" t="n">
        <x:f>V42*V43/12</x:f>
        <x:v>0</x:v>
      </x:c>
      <x:c r="W44" s="85" t="n">
        <x:f>W42*W43/12</x:f>
        <x:v>0</x:v>
      </x:c>
      <x:c r="X44" s="85" t="n">
        <x:f>X42*X43/12</x:f>
        <x:v>0</x:v>
      </x:c>
      <x:c r="Y44" s="85" t="n">
        <x:f>Y42*Y43/12</x:f>
        <x:v>0</x:v>
      </x:c>
      <x:c r="Z44" s="85" t="n">
        <x:f>Z42*Z43/12</x:f>
        <x:v>0</x:v>
      </x:c>
      <x:c r="AA44" s="85" t="n">
        <x:f>AA42*AA43/12</x:f>
        <x:v>0</x:v>
      </x:c>
      <x:c r="AB44" s="85" t="n">
        <x:f>AB42*AB43/12</x:f>
        <x:v>0</x:v>
      </x:c>
      <x:c r="AC44" s="85" t="n">
        <x:f>AC42*AC43/12</x:f>
        <x:v>0</x:v>
      </x:c>
      <x:c r="AD44" s="85" t="n">
        <x:f>AD42*AD43/12</x:f>
        <x:v>0</x:v>
      </x:c>
      <x:c r="AE44" s="85" t="n">
        <x:f>AE42*AE43/12</x:f>
        <x:v>0</x:v>
      </x:c>
      <x:c r="AF44" s="85" t="n">
        <x:f>AF42*AF43/12</x:f>
        <x:v>0</x:v>
      </x:c>
      <x:c r="AG44" s="85" t="n">
        <x:f>AG42*AG43/12</x:f>
        <x:v>0</x:v>
      </x:c>
      <x:c r="AH44" s="85" t="n">
        <x:f>AH42*AH43/12</x:f>
        <x:v>3472.2222222222226</x:v>
      </x:c>
      <x:c r="AI44" s="85" t="n">
        <x:f>AI42*AI43/12</x:f>
        <x:v>10416.666666666666</x:v>
      </x:c>
      <x:c r="AJ44" s="85" t="n">
        <x:f>AJ42*AJ43/12</x:f>
        <x:v>17361.111111111113</x:v>
      </x:c>
      <x:c r="AK44" s="85" t="n">
        <x:f>AK42*AK43/12</x:f>
        <x:v>24305.55555555555</x:v>
      </x:c>
      <x:c r="AL44" s="85" t="n">
        <x:f>AL42*AL43/12</x:f>
        <x:v>31250</x:v>
      </x:c>
      <x:c r="AM44" s="85" t="n">
        <x:f>AM42*AM43/12</x:f>
        <x:v>38194.444444444445</x:v>
      </x:c>
      <x:c r="AN44" s="85" t="n">
        <x:f>AN42*AN43/12</x:f>
        <x:v>45138.8888888889</x:v>
      </x:c>
      <x:c r="AO44" s="85" t="n">
        <x:f>AO42*AO43/12</x:f>
        <x:v>52083.333333333336</x:v>
      </x:c>
      <x:c r="AP44" s="85" t="n">
        <x:f>AP42*AP43/12</x:f>
        <x:v>59027.777777777774</x:v>
      </x:c>
      <x:c r="AQ44" s="85" t="n">
        <x:f>AQ42*AQ43/12</x:f>
        <x:v>65972.22222222222</x:v>
      </x:c>
      <x:c r="AR44" s="85" t="n">
        <x:f>AR42*AR43/12</x:f>
        <x:v>72916.66666666664</x:v>
      </x:c>
      <x:c r="AS44" s="85" t="n">
        <x:f>AS42*AS43/12</x:f>
        <x:v>79861.11111111111</x:v>
      </x:c>
      <x:c r="AT44" s="85" t="n">
        <x:f>AT42*AT43/12</x:f>
        <x:v>100694.44444444445</x:v>
      </x:c>
      <x:c r="AU44" s="85" t="n">
        <x:f>AU42*AU43/12</x:f>
        <x:v>135416.66666666666</x:v>
      </x:c>
      <x:c r="AV44" s="85" t="n">
        <x:f>AV42*AV43/12</x:f>
        <x:v>170138.8888888889</x:v>
      </x:c>
      <x:c r="AW44" s="85" t="n">
        <x:f>AW42*AW43/12</x:f>
        <x:v>204861.11111111112</x:v>
      </x:c>
      <x:c r="AX44" s="85" t="n">
        <x:f>AX42*AX43/12</x:f>
        <x:v>239583.33333333337</x:v>
      </x:c>
      <x:c r="AY44" s="85" t="n">
        <x:f>AY42*AY43/12</x:f>
        <x:v>274305.55555555556</x:v>
      </x:c>
      <x:c r="AZ44" s="85" t="n">
        <x:f>AZ42*AZ43/12</x:f>
        <x:v>309027.77777777787</x:v>
      </x:c>
      <x:c r="BA44" s="85" t="n">
        <x:f>BA42*BA43/12</x:f>
        <x:v>343750.00000000006</x:v>
      </x:c>
      <x:c r="BB44" s="85" t="n">
        <x:f>BB42*BB43/12</x:f>
        <x:v>378472.22222222225</x:v>
      </x:c>
      <x:c r="BC44" s="85" t="n">
        <x:f>BC42*BC43/12</x:f>
        <x:v>413194.4444444445</x:v>
      </x:c>
      <x:c r="BD44" s="85" t="n">
        <x:f>BD42*BD43/12</x:f>
        <x:v>447916.6666666667</x:v>
      </x:c>
      <x:c r="BE44" s="85" t="n">
        <x:f>BE42*BE43/12</x:f>
        <x:v>482638.8888888888</x:v>
      </x:c>
      <x:c r="BF44" s="85" t="n">
        <x:f>BF42*BF43/12</x:f>
        <x:v>534722.2222222221</x:v>
      </x:c>
      <x:c r="BG44" s="85" t="n">
        <x:f>BG42*BG43/12</x:f>
        <x:v>604166.6666666666</x:v>
      </x:c>
      <x:c r="BH44" s="85" t="n">
        <x:f>BH42*BH43/12</x:f>
        <x:v>673611.1111111111</x:v>
      </x:c>
      <x:c r="BI44" s="85" t="n">
        <x:f>BI42*BI43/12</x:f>
        <x:v>743055.5555555555</x:v>
      </x:c>
      <x:c r="BJ44" s="85" t="n">
        <x:f>BJ42*BJ43/12</x:f>
        <x:v>812499.9999999999</x:v>
      </x:c>
      <x:c r="BK44" s="85" t="n">
        <x:f>BK42*BK43/12</x:f>
        <x:v>881944.4444444444</x:v>
      </x:c>
      <x:c r="BL44" s="85" t="n">
        <x:f>BL42*BL43/12</x:f>
        <x:v>951388.8888888886</x:v>
      </x:c>
      <x:c r="BM44" s="85" t="n">
        <x:f>BM42*BM43/12</x:f>
        <x:v>1020833.333333333</x:v>
      </x:c>
      <x:c r="BN44" s="85" t="n">
        <x:f>BN42*BN43/12</x:f>
        <x:v>1090277.7777777773</x:v>
      </x:c>
      <x:c r="BO44" s="85" t="n">
        <x:f>BO42*BO43/12</x:f>
        <x:v>1159722.2222222218</x:v>
      </x:c>
      <x:c r="BP44" s="85" t="n">
        <x:f>BP42*BP43/12</x:f>
        <x:v>1229166.6666666663</x:v>
      </x:c>
      <x:c r="BQ44" s="85" t="n">
        <x:f>BQ42*BQ43/12</x:f>
        <x:v>1298611.111111111</x:v>
      </x:c>
    </x:row>
    <x:row r="45" ht="25" customHeight="1">
      <x:c r="A45" s="2"/>
      <x:c r="B45" s="2"/>
      <x:c r="C45" s="84" t="str">
        <x:v>Business exit annualized revenue</x:v>
      </x:c>
      <x:c r="D45" s="85" t="n">
        <x:f>U45</x:f>
        <x:v>0</x:v>
      </x:c>
      <x:c r="E45" s="85" t="n">
        <x:f>AG45</x:f>
        <x:v>0</x:v>
      </x:c>
      <x:c r="F45" s="85" t="n">
        <x:f>AS45</x:f>
        <x:v>1000000</x:v>
      </x:c>
      <x:c r="G45" s="85" t="n">
        <x:f>BE45</x:f>
        <x:v>5999999.999999999</x:v>
      </x:c>
      <x:c r="H45" s="85" t="n">
        <x:f>BQ45</x:f>
        <x:v>16000000</x:v>
      </x:c>
      <x:c r="I45" s="85" t="n">
        <x:f>I41*I43</x:f>
        <x:v>0</x:v>
      </x:c>
      <x:c r="J45" s="85" t="n">
        <x:f>J41*J43</x:f>
        <x:v>0</x:v>
      </x:c>
      <x:c r="K45" s="85" t="n">
        <x:f>K41*K43</x:f>
        <x:v>0</x:v>
      </x:c>
      <x:c r="L45" s="85" t="n">
        <x:f>L41*L43</x:f>
        <x:v>0</x:v>
      </x:c>
      <x:c r="M45" s="85" t="n">
        <x:f>M41*M43</x:f>
        <x:v>0</x:v>
      </x:c>
      <x:c r="N45" s="85" t="n">
        <x:f>N41*N43</x:f>
        <x:v>0</x:v>
      </x:c>
      <x:c r="O45" s="85" t="n">
        <x:f>O41*O43</x:f>
        <x:v>0</x:v>
      </x:c>
      <x:c r="P45" s="85" t="n">
        <x:f>P41*P43</x:f>
        <x:v>0</x:v>
      </x:c>
      <x:c r="Q45" s="85" t="n">
        <x:f>Q41*Q43</x:f>
        <x:v>0</x:v>
      </x:c>
      <x:c r="R45" s="85" t="n">
        <x:f>R41*R43</x:f>
        <x:v>0</x:v>
      </x:c>
      <x:c r="S45" s="85" t="n">
        <x:f>S41*S43</x:f>
        <x:v>0</x:v>
      </x:c>
      <x:c r="T45" s="85" t="n">
        <x:f>T41*T43</x:f>
        <x:v>0</x:v>
      </x:c>
      <x:c r="U45" s="85" t="n">
        <x:f>U41*U43</x:f>
        <x:v>0</x:v>
      </x:c>
      <x:c r="V45" s="85" t="n">
        <x:f>V41*V43</x:f>
        <x:v>0</x:v>
      </x:c>
      <x:c r="W45" s="85" t="n">
        <x:f>W41*W43</x:f>
        <x:v>0</x:v>
      </x:c>
      <x:c r="X45" s="85" t="n">
        <x:f>X41*X43</x:f>
        <x:v>0</x:v>
      </x:c>
      <x:c r="Y45" s="85" t="n">
        <x:f>Y41*Y43</x:f>
        <x:v>0</x:v>
      </x:c>
      <x:c r="Z45" s="85" t="n">
        <x:f>Z41*Z43</x:f>
        <x:v>0</x:v>
      </x:c>
      <x:c r="AA45" s="85" t="n">
        <x:f>AA41*AA43</x:f>
        <x:v>0</x:v>
      </x:c>
      <x:c r="AB45" s="85" t="n">
        <x:f>AB41*AB43</x:f>
        <x:v>0</x:v>
      </x:c>
      <x:c r="AC45" s="85" t="n">
        <x:f>AC41*AC43</x:f>
        <x:v>0</x:v>
      </x:c>
      <x:c r="AD45" s="85" t="n">
        <x:f>AD41*AD43</x:f>
        <x:v>0</x:v>
      </x:c>
      <x:c r="AE45" s="85" t="n">
        <x:f>AE41*AE43</x:f>
        <x:v>0</x:v>
      </x:c>
      <x:c r="AF45" s="85" t="n">
        <x:f>AF41*AF43</x:f>
        <x:v>0</x:v>
      </x:c>
      <x:c r="AG45" s="85" t="n">
        <x:f>AG41*AG43</x:f>
        <x:v>0</x:v>
      </x:c>
      <x:c r="AH45" s="85" t="n">
        <x:f>AH41*AH43</x:f>
        <x:v>83333.33333333334</x:v>
      </x:c>
      <x:c r="AI45" s="85" t="n">
        <x:f>AI41*AI43</x:f>
        <x:v>166666.6666666667</x:v>
      </x:c>
      <x:c r="AJ45" s="85" t="n">
        <x:f>AJ41*AJ43</x:f>
        <x:v>250000</x:v>
      </x:c>
      <x:c r="AK45" s="85" t="n">
        <x:f>AK41*AK43</x:f>
        <x:v>333333.3333333334</x:v>
      </x:c>
      <x:c r="AL45" s="85" t="n">
        <x:f>AL41*AL43</x:f>
        <x:v>416666.6666666667</x:v>
      </x:c>
      <x:c r="AM45" s="85" t="n">
        <x:f>AM41*AM43</x:f>
        <x:v>500000</x:v>
      </x:c>
      <x:c r="AN45" s="85" t="n">
        <x:f>AN41*AN43</x:f>
        <x:v>583333.3333333333</x:v>
      </x:c>
      <x:c r="AO45" s="85" t="n">
        <x:f>AO41*AO43</x:f>
        <x:v>666666.6666666666</x:v>
      </x:c>
      <x:c r="AP45" s="85" t="n">
        <x:f>AP41*AP43</x:f>
        <x:v>749999.9999999999</x:v>
      </x:c>
      <x:c r="AQ45" s="85" t="n">
        <x:f>AQ41*AQ43</x:f>
        <x:v>833333.3333333333</x:v>
      </x:c>
      <x:c r="AR45" s="85" t="n">
        <x:f>AR41*AR43</x:f>
        <x:v>916666.6666666666</x:v>
      </x:c>
      <x:c r="AS45" s="85" t="n">
        <x:f>AS41*AS43</x:f>
        <x:v>1000000</x:v>
      </x:c>
      <x:c r="AT45" s="85" t="n">
        <x:f>AT41*AT43</x:f>
        <x:v>1416666.6666666667</x:v>
      </x:c>
      <x:c r="AU45" s="85" t="n">
        <x:f>AU41*AU43</x:f>
        <x:v>1833333.3333333335</x:v>
      </x:c>
      <x:c r="AV45" s="85" t="n">
        <x:f>AV41*AV43</x:f>
        <x:v>2250000.0000000005</x:v>
      </x:c>
      <x:c r="AW45" s="85" t="n">
        <x:f>AW41*AW43</x:f>
        <x:v>2666666.666666667</x:v>
      </x:c>
      <x:c r="AX45" s="85" t="n">
        <x:f>AX41*AX43</x:f>
        <x:v>3083333.333333334</x:v>
      </x:c>
      <x:c r="AY45" s="85" t="n">
        <x:f>AY41*AY43</x:f>
        <x:v>3500000.000000001</x:v>
      </x:c>
      <x:c r="AZ45" s="85" t="n">
        <x:f>AZ41*AZ43</x:f>
        <x:v>3916666.666666667</x:v>
      </x:c>
      <x:c r="BA45" s="85" t="n">
        <x:f>BA41*BA43</x:f>
        <x:v>4333333.333333334</x:v>
      </x:c>
      <x:c r="BB45" s="85" t="n">
        <x:f>BB41*BB43</x:f>
        <x:v>4750000</x:v>
      </x:c>
      <x:c r="BC45" s="85" t="n">
        <x:f>BC41*BC43</x:f>
        <x:v>5166666.666666666</x:v>
      </x:c>
      <x:c r="BD45" s="85" t="n">
        <x:f>BD41*BD43</x:f>
        <x:v>5583333.333333333</x:v>
      </x:c>
      <x:c r="BE45" s="85" t="n">
        <x:f>BE41*BE43</x:f>
        <x:v>5999999.999999999</x:v>
      </x:c>
      <x:c r="BF45" s="85" t="n">
        <x:f>BF41*BF43</x:f>
        <x:v>6833333.333333333</x:v>
      </x:c>
      <x:c r="BG45" s="85" t="n">
        <x:f>BG41*BG43</x:f>
        <x:v>7666666.666666666</x:v>
      </x:c>
      <x:c r="BH45" s="85" t="n">
        <x:f>BH41*BH43</x:f>
        <x:v>8499999.999999998</x:v>
      </x:c>
      <x:c r="BI45" s="85" t="n">
        <x:f>BI41*BI43</x:f>
        <x:v>9333333.333333332</x:v>
      </x:c>
      <x:c r="BJ45" s="85" t="n">
        <x:f>BJ41*BJ43</x:f>
        <x:v>10166666.666666664</x:v>
      </x:c>
      <x:c r="BK45" s="85" t="n">
        <x:f>BK41*BK43</x:f>
        <x:v>10999999.999999996</x:v>
      </x:c>
      <x:c r="BL45" s="85" t="n">
        <x:f>BL41*BL43</x:f>
        <x:v>11833333.33333333</x:v>
      </x:c>
      <x:c r="BM45" s="85" t="n">
        <x:f>BM41*BM43</x:f>
        <x:v>12666666.666666662</x:v>
      </x:c>
      <x:c r="BN45" s="85" t="n">
        <x:f>BN41*BN43</x:f>
        <x:v>13499999.999999996</x:v>
      </x:c>
      <x:c r="BO45" s="85" t="n">
        <x:f>BO41*BO43</x:f>
        <x:v>14333333.333333332</x:v>
      </x:c>
      <x:c r="BP45" s="85" t="n">
        <x:f>BP41*BP43</x:f>
        <x:v>15166666.666666666</x:v>
      </x:c>
      <x:c r="BQ45" s="85" t="n">
        <x:f>BQ41*BQ43</x:f>
        <x:v>16000000</x:v>
      </x:c>
    </x:row>
    <x:row r="46" ht="23" customHeight="1">
      <x:c r="A46" s="2"/>
      <x:c r="B46" s="2"/>
      <x:c r="C46" s="2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  <x:c r="AI46" s="4"/>
      <x:c r="AJ46" s="4"/>
      <x:c r="AK46" s="4"/>
      <x:c r="AL46" s="4"/>
      <x:c r="AM46" s="4"/>
      <x:c r="AN46" s="4"/>
      <x:c r="AO46" s="4"/>
      <x:c r="AP46" s="4"/>
      <x:c r="AQ46" s="4"/>
      <x:c r="AR46" s="4"/>
      <x:c r="AS46" s="4"/>
      <x:c r="AT46" s="4"/>
      <x:c r="AU46" s="4"/>
      <x:c r="AV46" s="4"/>
      <x:c r="AW46" s="4"/>
      <x:c r="AX46" s="4"/>
      <x:c r="AY46" s="4"/>
      <x:c r="AZ46" s="4"/>
      <x:c r="BA46" s="4"/>
      <x:c r="BB46" s="4"/>
      <x:c r="BC46" s="4"/>
      <x:c r="BD46" s="4"/>
      <x:c r="BE46" s="4"/>
      <x:c r="BF46" s="4"/>
      <x:c r="BG46" s="4"/>
      <x:c r="BH46" s="4"/>
      <x:c r="BI46" s="4"/>
      <x:c r="BJ46" s="4"/>
      <x:c r="BK46" s="4"/>
      <x:c r="BL46" s="4"/>
      <x:c r="BM46" s="4"/>
      <x:c r="BN46" s="4"/>
      <x:c r="BO46" s="4"/>
      <x:c r="BP46" s="4"/>
      <x:c r="BQ46" s="4"/>
    </x:row>
    <x:row r="47" ht="25" customHeight="1">
      <x:c r="A47" s="2"/>
      <x:c r="B47" s="2"/>
      <x:c r="C47" s="84" t="str">
        <x:v>Total revenue earned in period</x:v>
      </x:c>
      <x:c r="D47" s="85" t="n">
        <x:f>IF(COUNT(J47:U47)=12,SUM(J47:U47),"n.a.")</x:f>
        <x:v>3135000</x:v>
      </x:c>
      <x:c r="E47" s="85" t="n">
        <x:f>IF(COUNT(V47:AG47)=12,SUM(V47:AG47),"n.a.")</x:f>
        <x:v>7874999.999999998</x:v>
      </x:c>
      <x:c r="F47" s="85" t="n">
        <x:f>IF(COUNT(AH47:AS47)=12,SUM(AH47:AS47),"n.a.")</x:f>
        <x:v>24889999.999999996</x:v>
      </x:c>
      <x:c r="G47" s="85" t="n">
        <x:f>IF(COUNT(AT47:BE47)=12,SUM(AT47:BE47),"n.a.")</x:f>
        <x:v>63050000</x:v>
      </x:c>
      <x:c r="H47" s="85" t="n">
        <x:f>IF(COUNT(BF47:BQ47)=12,SUM(BF47:BQ47),"n.a.")</x:f>
        <x:v>138100000</x:v>
      </x:c>
      <x:c r="I47" s="85" t="n">
        <x:f>IF(COUNT(I17,I28,I36,I44)=4,SUM(I17,I28,I36,I44),"n.a.")</x:f>
        <x:v>125000</x:v>
      </x:c>
      <x:c r="J47" s="85" t="n">
        <x:f>IF(COUNT(J17,J28,J36,J44)=4,SUM(J17,J28,J36,J44),"n.a.")</x:f>
        <x:v>250937.5</x:v>
      </x:c>
      <x:c r="K47" s="85" t="n">
        <x:f>IF(COUNT(K17,K28,K36,K44)=4,SUM(K17,K28,K36,K44),"n.a.")</x:f>
        <x:v>252812.5</x:v>
      </x:c>
      <x:c r="L47" s="85" t="n">
        <x:f>IF(COUNT(L17,L28,L36,L44)=4,SUM(L17,L28,L36,L44),"n.a.")</x:f>
        <x:v>254687.5</x:v>
      </x:c>
      <x:c r="M47" s="85" t="n">
        <x:f>IF(COUNT(M17,M28,M36,M44)=4,SUM(M17,M28,M36,M44),"n.a.")</x:f>
        <x:v>256562.5</x:v>
      </x:c>
      <x:c r="N47" s="85" t="n">
        <x:f>IF(COUNT(N17,N28,N36,N44)=4,SUM(N17,N28,N36,N44),"n.a.")</x:f>
        <x:v>258437.5</x:v>
      </x:c>
      <x:c r="O47" s="85" t="n">
        <x:f>IF(COUNT(O17,O28,O36,O44)=4,SUM(O17,O28,O36,O44),"n.a.")</x:f>
        <x:v>260312.5</x:v>
      </x:c>
      <x:c r="P47" s="85" t="n">
        <x:f>IF(COUNT(P17,P28,P36,P44)=4,SUM(P17,P28,P36,P44),"n.a.")</x:f>
        <x:v>262187.5</x:v>
      </x:c>
      <x:c r="Q47" s="85" t="n">
        <x:f>IF(COUNT(Q17,Q28,Q36,Q44)=4,SUM(Q17,Q28,Q36,Q44),"n.a.")</x:f>
        <x:v>264062.5</x:v>
      </x:c>
      <x:c r="R47" s="85" t="n">
        <x:f>IF(COUNT(R17,R28,R36,R44)=4,SUM(R17,R28,R36,R44),"n.a.")</x:f>
        <x:v>265937.5</x:v>
      </x:c>
      <x:c r="S47" s="85" t="n">
        <x:f>IF(COUNT(S17,S28,S36,S44)=4,SUM(S17,S28,S36,S44),"n.a.")</x:f>
        <x:v>267812.5</x:v>
      </x:c>
      <x:c r="T47" s="85" t="n">
        <x:f>IF(COUNT(T17,T28,T36,T44)=4,SUM(T17,T28,T36,T44),"n.a.")</x:f>
        <x:v>269687.5</x:v>
      </x:c>
      <x:c r="U47" s="85" t="n">
        <x:f>IF(COUNT(U17,U28,U36,U44)=4,SUM(U17,U28,U36,U44),"n.a.")</x:f>
        <x:v>271562.5</x:v>
      </x:c>
      <x:c r="V47" s="85" t="n">
        <x:f>IF(COUNT(V17,V28,V36,V44)=4,SUM(V17,V28,V36,V44),"n.a.")</x:f>
        <x:v>441979.1666666667</x:v>
      </x:c>
      <x:c r="W47" s="85" t="n">
        <x:f>IF(COUNT(W17,W28,W36,W44)=4,SUM(W17,W28,W36,W44),"n.a.")</x:f>
        <x:v>480937.5</x:v>
      </x:c>
      <x:c r="X47" s="85" t="n">
        <x:f>IF(COUNT(X17,X28,X36,X44)=4,SUM(X17,X28,X36,X44),"n.a.")</x:f>
        <x:v>519895.8333333333</x:v>
      </x:c>
      <x:c r="Y47" s="85" t="n">
        <x:f>IF(COUNT(Y17,Y28,Y36,Y44)=4,SUM(Y17,Y28,Y36,Y44),"n.a.")</x:f>
        <x:v>558854.1666666666</x:v>
      </x:c>
      <x:c r="Z47" s="85" t="n">
        <x:f>IF(COUNT(Z17,Z28,Z36,Z44)=4,SUM(Z17,Z28,Z36,Z44),"n.a.")</x:f>
        <x:v>597812.4999999999</x:v>
      </x:c>
      <x:c r="AA47" s="85" t="n">
        <x:f>IF(COUNT(AA17,AA28,AA36,AA44)=4,SUM(AA17,AA28,AA36,AA44),"n.a.")</x:f>
        <x:v>636770.8333333333</x:v>
      </x:c>
      <x:c r="AB47" s="85" t="n">
        <x:f>IF(COUNT(AB17,AB28,AB36,AB44)=4,SUM(AB17,AB28,AB36,AB44),"n.a.")</x:f>
        <x:v>675729.1666666665</x:v>
      </x:c>
      <x:c r="AC47" s="85" t="n">
        <x:f>IF(COUNT(AC17,AC28,AC36,AC44)=4,SUM(AC17,AC28,AC36,AC44),"n.a.")</x:f>
        <x:v>714687.4999999998</x:v>
      </x:c>
      <x:c r="AD47" s="85" t="n">
        <x:f>IF(COUNT(AD17,AD28,AD36,AD44)=4,SUM(AD17,AD28,AD36,AD44),"n.a.")</x:f>
        <x:v>753645.8333333331</x:v>
      </x:c>
      <x:c r="AE47" s="85" t="n">
        <x:f>IF(COUNT(AE17,AE28,AE36,AE44)=4,SUM(AE17,AE28,AE36,AE44),"n.a.")</x:f>
        <x:v>792604.1666666664</x:v>
      </x:c>
      <x:c r="AF47" s="85" t="n">
        <x:f>IF(COUNT(AF17,AF28,AF36,AF44)=4,SUM(AF17,AF28,AF36,AF44),"n.a.")</x:f>
        <x:v>831562.4999999998</x:v>
      </x:c>
      <x:c r="AG47" s="85" t="n">
        <x:f>IF(COUNT(AG17,AG28,AG36,AG44)=4,SUM(AG17,AG28,AG36,AG44),"n.a.")</x:f>
        <x:v>870520.833333333</x:v>
      </x:c>
      <x:c r="AH47" s="85" t="n">
        <x:f>IF(COUNT(AH17,AH28,AH36,AH44)=4,SUM(AH17,AH28,AH36,AH44),"n.a.")</x:f>
        <x:v>1172013.8888888885</x:v>
      </x:c>
      <x:c r="AI47" s="85" t="n">
        <x:f>IF(COUNT(AI17,AI28,AI36,AI44)=4,SUM(AI17,AI28,AI36,AI44),"n.a.")</x:f>
        <x:v>1336041.6666666663</x:v>
      </x:c>
      <x:c r="AJ47" s="85" t="n">
        <x:f>IF(COUNT(AJ17,AJ28,AJ36,AJ44)=4,SUM(AJ17,AJ28,AJ36,AJ44),"n.a.")</x:f>
        <x:v>1500069.4444444438</x:v>
      </x:c>
      <x:c r="AK47" s="85" t="n">
        <x:f>IF(COUNT(AK17,AK28,AK36,AK44)=4,SUM(AK17,AK28,AK36,AK44),"n.a.")</x:f>
        <x:v>1664097.2222222218</x:v>
      </x:c>
      <x:c r="AL47" s="85" t="n">
        <x:f>IF(COUNT(AL17,AL28,AL36,AL44)=4,SUM(AL17,AL28,AL36,AL44),"n.a.")</x:f>
        <x:v>1828124.9999999995</x:v>
      </x:c>
      <x:c r="AM47" s="85" t="n">
        <x:f>IF(COUNT(AM17,AM28,AM36,AM44)=4,SUM(AM17,AM28,AM36,AM44),"n.a.")</x:f>
        <x:v>1992152.7777777773</x:v>
      </x:c>
      <x:c r="AN47" s="85" t="n">
        <x:f>IF(COUNT(AN17,AN28,AN36,AN44)=4,SUM(AN17,AN28,AN36,AN44),"n.a.")</x:f>
        <x:v>2156180.555555555</x:v>
      </x:c>
      <x:c r="AO47" s="85" t="n">
        <x:f>IF(COUNT(AO17,AO28,AO36,AO44)=4,SUM(AO17,AO28,AO36,AO44),"n.a.")</x:f>
        <x:v>2320208.333333333</x:v>
      </x:c>
      <x:c r="AP47" s="85" t="n">
        <x:f>IF(COUNT(AP17,AP28,AP36,AP44)=4,SUM(AP17,AP28,AP36,AP44),"n.a.")</x:f>
        <x:v>2484236.111111111</x:v>
      </x:c>
      <x:c r="AQ47" s="85" t="n">
        <x:f>IF(COUNT(AQ17,AQ28,AQ36,AQ44)=4,SUM(AQ17,AQ28,AQ36,AQ44),"n.a.")</x:f>
        <x:v>2648263.888888888</x:v>
      </x:c>
      <x:c r="AR47" s="85" t="n">
        <x:f>IF(COUNT(AR17,AR28,AR36,AR44)=4,SUM(AR17,AR28,AR36,AR44),"n.a.")</x:f>
        <x:v>2812291.666666666</x:v>
      </x:c>
      <x:c r="AS47" s="85" t="n">
        <x:f>IF(COUNT(AS17,AS28,AS36,AS44)=4,SUM(AS17,AS28,AS36,AS44),"n.a.")</x:f>
        <x:v>2976319.444444444</x:v>
      </x:c>
      <x:c r="AT47" s="85" t="n">
        <x:f>IF(COUNT(AT17,AT28,AT36,AT44)=4,SUM(AT17,AT28,AT36,AT44),"n.a.")</x:f>
        <x:v>3241319.444444444</x:v>
      </x:c>
      <x:c r="AU47" s="85" t="n">
        <x:f>IF(COUNT(AU17,AU28,AU36,AU44)=4,SUM(AU17,AU28,AU36,AU44),"n.a.")</x:f>
        <x:v>3607291.666666666</x:v>
      </x:c>
      <x:c r="AV47" s="85" t="n">
        <x:f>IF(COUNT(AV17,AV28,AV36,AV44)=4,SUM(AV17,AV28,AV36,AV44),"n.a.")</x:f>
        <x:v>3973263.8888888885</x:v>
      </x:c>
      <x:c r="AW47" s="85" t="n">
        <x:f>IF(COUNT(AW17,AW28,AW36,AW44)=4,SUM(AW17,AW28,AW36,AW44),"n.a.")</x:f>
        <x:v>4339236.111111111</x:v>
      </x:c>
      <x:c r="AX47" s="85" t="n">
        <x:f>IF(COUNT(AX17,AX28,AX36,AX44)=4,SUM(AX17,AX28,AX36,AX44),"n.a.")</x:f>
        <x:v>4705208.333333333</x:v>
      </x:c>
      <x:c r="AY47" s="85" t="n">
        <x:f>IF(COUNT(AY17,AY28,AY36,AY44)=4,SUM(AY17,AY28,AY36,AY44),"n.a.")</x:f>
        <x:v>5071180.555555556</x:v>
      </x:c>
      <x:c r="AZ47" s="85" t="n">
        <x:f>IF(COUNT(AZ17,AZ28,AZ36,AZ44)=4,SUM(AZ17,AZ28,AZ36,AZ44),"n.a.")</x:f>
        <x:v>5437152.777777778</x:v>
      </x:c>
      <x:c r="BA47" s="85" t="n">
        <x:f>IF(COUNT(BA17,BA28,BA36,BA44)=4,SUM(BA17,BA28,BA36,BA44),"n.a.")</x:f>
        <x:v>5803125</x:v>
      </x:c>
      <x:c r="BB47" s="85" t="n">
        <x:f>IF(COUNT(BB17,BB28,BB36,BB44)=4,SUM(BB17,BB28,BB36,BB44),"n.a.")</x:f>
        <x:v>6169097.222222222</x:v>
      </x:c>
      <x:c r="BC47" s="85" t="n">
        <x:f>IF(COUNT(BC17,BC28,BC36,BC44)=4,SUM(BC17,BC28,BC36,BC44),"n.a.")</x:f>
        <x:v>6535069.444444444</x:v>
      </x:c>
      <x:c r="BD47" s="85" t="n">
        <x:f>IF(COUNT(BD17,BD28,BD36,BD44)=4,SUM(BD17,BD28,BD36,BD44),"n.a.")</x:f>
        <x:v>6901041.666666667</x:v>
      </x:c>
      <x:c r="BE47" s="85" t="n">
        <x:f>IF(COUNT(BE17,BE28,BE36,BE44)=4,SUM(BE17,BE28,BE36,BE44),"n.a.")</x:f>
        <x:v>7267013.888888889</x:v>
      </x:c>
      <x:c r="BF47" s="85" t="n">
        <x:f>IF(COUNT(BF17,BF28,BF36,BF44)=4,SUM(BF17,BF28,BF36,BF44),"n.a.")</x:f>
        <x:v>7788194.444444444</x:v>
      </x:c>
      <x:c r="BG47" s="85" t="n">
        <x:f>IF(COUNT(BG17,BG28,BG36,BG44)=4,SUM(BG17,BG28,BG36,BG44),"n.a.")</x:f>
        <x:v>8464583.333333334</x:v>
      </x:c>
      <x:c r="BH47" s="85" t="n">
        <x:f>IF(COUNT(BH17,BH28,BH36,BH44)=4,SUM(BH17,BH28,BH36,BH44),"n.a.")</x:f>
        <x:v>9140972.222222224</x:v>
      </x:c>
      <x:c r="BI47" s="85" t="n">
        <x:f>IF(COUNT(BI17,BI28,BI36,BI44)=4,SUM(BI17,BI28,BI36,BI44),"n.a.")</x:f>
        <x:v>9817361.111111112</x:v>
      </x:c>
      <x:c r="BJ47" s="85" t="n">
        <x:f>IF(COUNT(BJ17,BJ28,BJ36,BJ44)=4,SUM(BJ17,BJ28,BJ36,BJ44),"n.a.")</x:f>
        <x:v>10493750</x:v>
      </x:c>
      <x:c r="BK47" s="85" t="n">
        <x:f>IF(COUNT(BK17,BK28,BK36,BK44)=4,SUM(BK17,BK28,BK36,BK44),"n.a.")</x:f>
        <x:v>11170138.888888888</x:v>
      </x:c>
      <x:c r="BL47" s="85" t="n">
        <x:f>IF(COUNT(BL17,BL28,BL36,BL44)=4,SUM(BL17,BL28,BL36,BL44),"n.a.")</x:f>
        <x:v>11846527.777777776</x:v>
      </x:c>
      <x:c r="BM47" s="85" t="n">
        <x:f>IF(COUNT(BM17,BM28,BM36,BM44)=4,SUM(BM17,BM28,BM36,BM44),"n.a.")</x:f>
        <x:v>12522916.666666664</x:v>
      </x:c>
      <x:c r="BN47" s="85" t="n">
        <x:f>IF(COUNT(BN17,BN28,BN36,BN44)=4,SUM(BN17,BN28,BN36,BN44),"n.a.")</x:f>
        <x:v>13199305.555555556</x:v>
      </x:c>
      <x:c r="BO47" s="85" t="n">
        <x:f>IF(COUNT(BO17,BO28,BO36,BO44)=4,SUM(BO17,BO28,BO36,BO44),"n.a.")</x:f>
        <x:v>13875694.444444444</x:v>
      </x:c>
      <x:c r="BP47" s="85" t="n">
        <x:f>IF(COUNT(BP17,BP28,BP36,BP44)=4,SUM(BP17,BP28,BP36,BP44),"n.a.")</x:f>
        <x:v>14552083.333333332</x:v>
      </x:c>
      <x:c r="BQ47" s="85" t="n">
        <x:f>IF(COUNT(BQ17,BQ28,BQ36,BQ44)=4,SUM(BQ17,BQ28,BQ36,BQ44),"n.a.")</x:f>
        <x:v>15228472.22222222</x:v>
      </x:c>
    </x:row>
    <x:row r="48" ht="25" customHeight="1">
      <x:c r="A48" s="2"/>
      <x:c r="B48" s="2"/>
      <x:c r="C48" s="84" t="str">
        <x:v>Total exit annualized revenue</x:v>
      </x:c>
      <x:c r="D48" s="85" t="n">
        <x:f>U48</x:f>
        <x:v>3270000</x:v>
      </x:c>
      <x:c r="E48" s="85" t="n">
        <x:f>AG48</x:f>
        <x:v>10679999.999999996</x:v>
      </x:c>
      <x:c r="F48" s="85" t="n">
        <x:f>AS48</x:f>
        <x:v>36699999.99999999</x:v>
      </x:c>
      <x:c r="G48" s="85" t="n">
        <x:f>BE48</x:f>
        <x:v>89400000</x:v>
      </x:c>
      <x:c r="H48" s="85" t="n">
        <x:f>BQ48</x:f>
        <x:v>186800000</x:v>
      </x:c>
      <x:c r="I48" s="85" t="n">
        <x:f>IF(COUNT(I18,I29,I37,I45)=4,SUM(I18,I29,I37,I45),"n.a.")</x:f>
        <x:v>3000000</x:v>
      </x:c>
      <x:c r="J48" s="85" t="n">
        <x:f>IF(COUNT(J18,J29,J37,J45)=4,SUM(J18,J29,J37,J45),"n.a.")</x:f>
        <x:v>3022500</x:v>
      </x:c>
      <x:c r="K48" s="85" t="n">
        <x:f>IF(COUNT(K18,K29,K37,K45)=4,SUM(K18,K29,K37,K45),"n.a.")</x:f>
        <x:v>3045000</x:v>
      </x:c>
      <x:c r="L48" s="85" t="n">
        <x:f>IF(COUNT(L18,L29,L37,L45)=4,SUM(L18,L29,L37,L45),"n.a.")</x:f>
        <x:v>3067500</x:v>
      </x:c>
      <x:c r="M48" s="85" t="n">
        <x:f>IF(COUNT(M18,M29,M37,M45)=4,SUM(M18,M29,M37,M45),"n.a.")</x:f>
        <x:v>3090000</x:v>
      </x:c>
      <x:c r="N48" s="85" t="n">
        <x:f>IF(COUNT(N18,N29,N37,N45)=4,SUM(N18,N29,N37,N45),"n.a.")</x:f>
        <x:v>3112500</x:v>
      </x:c>
      <x:c r="O48" s="85" t="n">
        <x:f>IF(COUNT(O18,O29,O37,O45)=4,SUM(O18,O29,O37,O45),"n.a.")</x:f>
        <x:v>3135000</x:v>
      </x:c>
      <x:c r="P48" s="85" t="n">
        <x:f>IF(COUNT(P18,P29,P37,P45)=4,SUM(P18,P29,P37,P45),"n.a.")</x:f>
        <x:v>3157500</x:v>
      </x:c>
      <x:c r="Q48" s="85" t="n">
        <x:f>IF(COUNT(Q18,Q29,Q37,Q45)=4,SUM(Q18,Q29,Q37,Q45),"n.a.")</x:f>
        <x:v>3180000</x:v>
      </x:c>
      <x:c r="R48" s="85" t="n">
        <x:f>IF(COUNT(R18,R29,R37,R45)=4,SUM(R18,R29,R37,R45),"n.a.")</x:f>
        <x:v>3202500</x:v>
      </x:c>
      <x:c r="S48" s="85" t="n">
        <x:f>IF(COUNT(S18,S29,S37,S45)=4,SUM(S18,S29,S37,S45),"n.a.")</x:f>
        <x:v>3225000</x:v>
      </x:c>
      <x:c r="T48" s="85" t="n">
        <x:f>IF(COUNT(T18,T29,T37,T45)=4,SUM(T18,T29,T37,T45),"n.a.")</x:f>
        <x:v>3247500</x:v>
      </x:c>
      <x:c r="U48" s="85" t="n">
        <x:f>IF(COUNT(U18,U29,U37,U45)=4,SUM(U18,U29,U37,U45),"n.a.")</x:f>
        <x:v>3270000</x:v>
      </x:c>
      <x:c r="V48" s="85" t="n">
        <x:f>IF(COUNT(V18,V29,V37,V45)=4,SUM(V18,V29,V37,V45),"n.a.")</x:f>
        <x:v>5537500</x:v>
      </x:c>
      <x:c r="W48" s="85" t="n">
        <x:f>IF(COUNT(W18,W29,W37,W45)=4,SUM(W18,W29,W37,W45),"n.a.")</x:f>
        <x:v>6005000</x:v>
      </x:c>
      <x:c r="X48" s="85" t="n">
        <x:f>IF(COUNT(X18,X29,X37,X45)=4,SUM(X18,X29,X37,X45),"n.a.")</x:f>
        <x:v>6472499.999999998</x:v>
      </x:c>
      <x:c r="Y48" s="85" t="n">
        <x:f>IF(COUNT(Y18,Y29,Y37,Y45)=4,SUM(Y18,Y29,Y37,Y45),"n.a.")</x:f>
        <x:v>6939999.999999999</x:v>
      </x:c>
      <x:c r="Z48" s="85" t="n">
        <x:f>IF(COUNT(Z18,Z29,Z37,Z45)=4,SUM(Z18,Z29,Z37,Z45),"n.a.")</x:f>
        <x:v>7407499.999999998</x:v>
      </x:c>
      <x:c r="AA48" s="85" t="n">
        <x:f>IF(COUNT(AA18,AA29,AA37,AA45)=4,SUM(AA18,AA29,AA37,AA45),"n.a.")</x:f>
        <x:v>7874999.999999997</x:v>
      </x:c>
      <x:c r="AB48" s="85" t="n">
        <x:f>IF(COUNT(AB18,AB29,AB37,AB45)=4,SUM(AB18,AB29,AB37,AB45),"n.a.")</x:f>
        <x:v>8342499.999999998</x:v>
      </x:c>
      <x:c r="AC48" s="85" t="n">
        <x:f>IF(COUNT(AC18,AC29,AC37,AC45)=4,SUM(AC18,AC29,AC37,AC45),"n.a.")</x:f>
        <x:v>8809999.999999996</x:v>
      </x:c>
      <x:c r="AD48" s="85" t="n">
        <x:f>IF(COUNT(AD18,AD29,AD37,AD45)=4,SUM(AD18,AD29,AD37,AD45),"n.a.")</x:f>
        <x:v>9277499.999999996</x:v>
      </x:c>
      <x:c r="AE48" s="85" t="n">
        <x:f>IF(COUNT(AE18,AE29,AE37,AE45)=4,SUM(AE18,AE29,AE37,AE45),"n.a.")</x:f>
        <x:v>9744999.999999996</x:v>
      </x:c>
      <x:c r="AF48" s="85" t="n">
        <x:f>IF(COUNT(AF18,AF29,AF37,AF45)=4,SUM(AF18,AF29,AF37,AF45),"n.a.")</x:f>
        <x:v>10212499.999999996</x:v>
      </x:c>
      <x:c r="AG48" s="85" t="n">
        <x:f>IF(COUNT(AG18,AG29,AG37,AG45)=4,SUM(AG18,AG29,AG37,AG45),"n.a.")</x:f>
        <x:v>10679999.999999996</x:v>
      </x:c>
      <x:c r="AH48" s="85" t="n">
        <x:f>IF(COUNT(AH18,AH29,AH37,AH45)=4,SUM(AH18,AH29,AH37,AH45),"n.a.")</x:f>
        <x:v>15048333.333333328</x:v>
      </x:c>
      <x:c r="AI48" s="85" t="n">
        <x:f>IF(COUNT(AI18,AI29,AI37,AI45)=4,SUM(AI18,AI29,AI37,AI45),"n.a.")</x:f>
        <x:v>17016666.66666666</x:v>
      </x:c>
      <x:c r="AJ48" s="85" t="n">
        <x:f>IF(COUNT(AJ18,AJ29,AJ37,AJ45)=4,SUM(AJ18,AJ29,AJ37,AJ45),"n.a.")</x:f>
        <x:v>18984999.999999993</x:v>
      </x:c>
      <x:c r="AK48" s="85" t="n">
        <x:f>IF(COUNT(AK18,AK29,AK37,AK45)=4,SUM(AK18,AK29,AK37,AK45),"n.a.")</x:f>
        <x:v>20953333.333333325</x:v>
      </x:c>
      <x:c r="AL48" s="85" t="n">
        <x:f>IF(COUNT(AL18,AL29,AL37,AL45)=4,SUM(AL18,AL29,AL37,AL45),"n.a.")</x:f>
        <x:v>22921666.66666666</x:v>
      </x:c>
      <x:c r="AM48" s="85" t="n">
        <x:f>IF(COUNT(AM18,AM29,AM37,AM45)=4,SUM(AM18,AM29,AM37,AM45),"n.a.")</x:f>
        <x:v>24889999.999999993</x:v>
      </x:c>
      <x:c r="AN48" s="85" t="n">
        <x:f>IF(COUNT(AN18,AN29,AN37,AN45)=4,SUM(AN18,AN29,AN37,AN45),"n.a.")</x:f>
        <x:v>26858333.333333325</x:v>
      </x:c>
      <x:c r="AO48" s="85" t="n">
        <x:f>IF(COUNT(AO18,AO29,AO37,AO45)=4,SUM(AO18,AO29,AO37,AO45),"n.a.")</x:f>
        <x:v>28826666.66666666</x:v>
      </x:c>
      <x:c r="AP48" s="85" t="n">
        <x:f>IF(COUNT(AP18,AP29,AP37,AP45)=4,SUM(AP18,AP29,AP37,AP45),"n.a.")</x:f>
        <x:v>30794999.999999993</x:v>
      </x:c>
      <x:c r="AQ48" s="85" t="n">
        <x:f>IF(COUNT(AQ18,AQ29,AQ37,AQ45)=4,SUM(AQ18,AQ29,AQ37,AQ45),"n.a.")</x:f>
        <x:v>32763333.333333325</x:v>
      </x:c>
      <x:c r="AR48" s="85" t="n">
        <x:f>IF(COUNT(AR18,AR29,AR37,AR45)=4,SUM(AR18,AR29,AR37,AR45),"n.a.")</x:f>
        <x:v>34731666.66666666</x:v>
      </x:c>
      <x:c r="AS48" s="85" t="n">
        <x:f>IF(COUNT(AS18,AS29,AS37,AS45)=4,SUM(AS18,AS29,AS37,AS45),"n.a.")</x:f>
        <x:v>36699999.99999999</x:v>
      </x:c>
      <x:c r="AT48" s="85" t="n">
        <x:f>IF(COUNT(AT18,AT29,AT37,AT45)=4,SUM(AT18,AT29,AT37,AT45),"n.a.")</x:f>
        <x:v>41091666.66666666</x:v>
      </x:c>
      <x:c r="AU48" s="85" t="n">
        <x:f>IF(COUNT(AU18,AU29,AU37,AU45)=4,SUM(AU18,AU29,AU37,AU45),"n.a.")</x:f>
        <x:v>45483333.33333333</x:v>
      </x:c>
      <x:c r="AV48" s="85" t="n">
        <x:f>IF(COUNT(AV18,AV29,AV37,AV45)=4,SUM(AV18,AV29,AV37,AV45),"n.a.")</x:f>
        <x:v>49874999.99999999</x:v>
      </x:c>
      <x:c r="AW48" s="85" t="n">
        <x:f>IF(COUNT(AW18,AW29,AW37,AW45)=4,SUM(AW18,AW29,AW37,AW45),"n.a.")</x:f>
        <x:v>54266666.66666666</x:v>
      </x:c>
      <x:c r="AX48" s="85" t="n">
        <x:f>IF(COUNT(AX18,AX29,AX37,AX45)=4,SUM(AX18,AX29,AX37,AX45),"n.a.")</x:f>
        <x:v>58658333.33333333</x:v>
      </x:c>
      <x:c r="AY48" s="85" t="n">
        <x:f>IF(COUNT(AY18,AY29,AY37,AY45)=4,SUM(AY18,AY29,AY37,AY45),"n.a.")</x:f>
        <x:v>63049999.99999999</x:v>
      </x:c>
      <x:c r="AZ48" s="85" t="n">
        <x:f>IF(COUNT(AZ18,AZ29,AZ37,AZ45)=4,SUM(AZ18,AZ29,AZ37,AZ45),"n.a.")</x:f>
        <x:v>67441666.66666667</x:v>
      </x:c>
      <x:c r="BA48" s="85" t="n">
        <x:f>IF(COUNT(BA18,BA29,BA37,BA45)=4,SUM(BA18,BA29,BA37,BA45),"n.a.")</x:f>
        <x:v>71833333.33333333</x:v>
      </x:c>
      <x:c r="BB48" s="85" t="n">
        <x:f>IF(COUNT(BB18,BB29,BB37,BB45)=4,SUM(BB18,BB29,BB37,BB45),"n.a.")</x:f>
        <x:v>76225000</x:v>
      </x:c>
      <x:c r="BC48" s="85" t="n">
        <x:f>IF(COUNT(BC18,BC29,BC37,BC45)=4,SUM(BC18,BC29,BC37,BC45),"n.a.")</x:f>
        <x:v>80616666.66666667</x:v>
      </x:c>
      <x:c r="BD48" s="85" t="n">
        <x:f>IF(COUNT(BD18,BD29,BD37,BD45)=4,SUM(BD18,BD29,BD37,BD45),"n.a.")</x:f>
        <x:v>85008333.33333333</x:v>
      </x:c>
      <x:c r="BE48" s="85" t="n">
        <x:f>IF(COUNT(BE18,BE29,BE37,BE45)=4,SUM(BE18,BE29,BE37,BE45),"n.a.")</x:f>
        <x:v>89400000</x:v>
      </x:c>
      <x:c r="BF48" s="85" t="n">
        <x:f>IF(COUNT(BF18,BF29,BF37,BF45)=4,SUM(BF18,BF29,BF37,BF45),"n.a.")</x:f>
        <x:v>97516666.66666666</x:v>
      </x:c>
      <x:c r="BG48" s="85" t="n">
        <x:f>IF(COUNT(BG18,BG29,BG37,BG45)=4,SUM(BG18,BG29,BG37,BG45),"n.a.")</x:f>
        <x:v>105633333.33333334</x:v>
      </x:c>
      <x:c r="BH48" s="85" t="n">
        <x:f>IF(COUNT(BH18,BH29,BH37,BH45)=4,SUM(BH18,BH29,BH37,BH45),"n.a.")</x:f>
        <x:v>113750000</x:v>
      </x:c>
      <x:c r="BI48" s="85" t="n">
        <x:f>IF(COUNT(BI18,BI29,BI37,BI45)=4,SUM(BI18,BI29,BI37,BI45),"n.a.")</x:f>
        <x:v>121866666.66666666</x:v>
      </x:c>
      <x:c r="BJ48" s="85" t="n">
        <x:f>IF(COUNT(BJ18,BJ29,BJ37,BJ45)=4,SUM(BJ18,BJ29,BJ37,BJ45),"n.a.")</x:f>
        <x:v>129983333.33333331</x:v>
      </x:c>
      <x:c r="BK48" s="85" t="n">
        <x:f>IF(COUNT(BK18,BK29,BK37,BK45)=4,SUM(BK18,BK29,BK37,BK45),"n.a.")</x:f>
        <x:v>138100000</x:v>
      </x:c>
      <x:c r="BL48" s="85" t="n">
        <x:f>IF(COUNT(BL18,BL29,BL37,BL45)=4,SUM(BL18,BL29,BL37,BL45),"n.a.")</x:f>
        <x:v>146216666.66666666</x:v>
      </x:c>
      <x:c r="BM48" s="85" t="n">
        <x:f>IF(COUNT(BM18,BM29,BM37,BM45)=4,SUM(BM18,BM29,BM37,BM45),"n.a.")</x:f>
        <x:v>154333333.3333333</x:v>
      </x:c>
      <x:c r="BN48" s="85" t="n">
        <x:f>IF(COUNT(BN18,BN29,BN37,BN45)=4,SUM(BN18,BN29,BN37,BN45),"n.a.")</x:f>
        <x:v>162450000</x:v>
      </x:c>
      <x:c r="BO48" s="85" t="n">
        <x:f>IF(COUNT(BO18,BO29,BO37,BO45)=4,SUM(BO18,BO29,BO37,BO45),"n.a.")</x:f>
        <x:v>170566666.66666666</x:v>
      </x:c>
      <x:c r="BP48" s="85" t="n">
        <x:f>IF(COUNT(BP18,BP29,BP37,BP45)=4,SUM(BP18,BP29,BP37,BP45),"n.a.")</x:f>
        <x:v>178683333.3333333</x:v>
      </x:c>
      <x:c r="BQ48" s="85" t="n">
        <x:f>IF(COUNT(BQ18,BQ29,BQ37,BQ45)=4,SUM(BQ18,BQ29,BQ37,BQ45),"n.a.")</x:f>
        <x:v>186800000</x:v>
      </x:c>
    </x:row>
    <x:row r="49" ht="23" customHeight="1">
      <x:c r="A49" s="2"/>
      <x:c r="B49" s="2"/>
      <x:c r="C49" s="2" t="str">
        <x:v>Closing retail subscriptions</x:v>
      </x:c>
      <x:c r="D49" s="76" t="n">
        <x:f>U49</x:f>
        <x:v>1000</x:v>
      </x:c>
      <x:c r="E49" s="76" t="n">
        <x:f>AG49</x:f>
        <x:v>2999.9999999999995</x:v>
      </x:c>
      <x:c r="F49" s="76" t="n">
        <x:f>AS49</x:f>
        <x:v>7500</x:v>
      </x:c>
      <x:c r="G49" s="76" t="n">
        <x:f>BE49</x:f>
        <x:v>15500</x:v>
      </x:c>
      <x:c r="H49" s="76" t="n">
        <x:f>BQ49</x:f>
        <x:v>30000</x:v>
      </x:c>
      <x:c r="I49" s="76" t="n">
        <x:f>SUM(I14,I25)</x:f>
        <x:v>500</x:v>
      </x:c>
      <x:c r="J49" s="76" t="n">
        <x:f>IF(COUNT(J14,J25)=2,SUM(J14,J25),"n.a.")</x:f>
        <x:v>541.6666666666666</x:v>
      </x:c>
      <x:c r="K49" s="76" t="n">
        <x:f>IF(COUNT(K14,K25)=2,SUM(K14,K25),"n.a.")</x:f>
        <x:v>583.3333333333334</x:v>
      </x:c>
      <x:c r="L49" s="76" t="n">
        <x:f>IF(COUNT(L14,L25)=2,SUM(L14,L25),"n.a.")</x:f>
        <x:v>625</x:v>
      </x:c>
      <x:c r="M49" s="76" t="n">
        <x:f>IF(COUNT(M14,M25)=2,SUM(M14,M25),"n.a.")</x:f>
        <x:v>666.6666666666666</x:v>
      </x:c>
      <x:c r="N49" s="76" t="n">
        <x:f>IF(COUNT(N14,N25)=2,SUM(N14,N25),"n.a.")</x:f>
        <x:v>708.3333333333333</x:v>
      </x:c>
      <x:c r="O49" s="76" t="n">
        <x:f>IF(COUNT(O14,O25)=2,SUM(O14,O25),"n.a.")</x:f>
        <x:v>750</x:v>
      </x:c>
      <x:c r="P49" s="76" t="n">
        <x:f>IF(COUNT(P14,P25)=2,SUM(P14,P25),"n.a.")</x:f>
        <x:v>791.6666666666666</x:v>
      </x:c>
      <x:c r="Q49" s="76" t="n">
        <x:f>IF(COUNT(Q14,Q25)=2,SUM(Q14,Q25),"n.a.")</x:f>
        <x:v>833.3333333333333</x:v>
      </x:c>
      <x:c r="R49" s="76" t="n">
        <x:f>IF(COUNT(R14,R25)=2,SUM(R14,R25),"n.a.")</x:f>
        <x:v>875</x:v>
      </x:c>
      <x:c r="S49" s="76" t="n">
        <x:f>IF(COUNT(S14,S25)=2,SUM(S14,S25),"n.a.")</x:f>
        <x:v>916.6666666666667</x:v>
      </x:c>
      <x:c r="T49" s="76" t="n">
        <x:f>IF(COUNT(T14,T25)=2,SUM(T14,T25),"n.a.")</x:f>
        <x:v>958.3333333333334</x:v>
      </x:c>
      <x:c r="U49" s="76" t="n">
        <x:f>IF(COUNT(U14,U25)=2,SUM(U14,U25),"n.a.")</x:f>
        <x:v>1000</x:v>
      </x:c>
      <x:c r="V49" s="76" t="n">
        <x:f>IF(COUNT(V14,V25)=2,SUM(V14,V25),"n.a.")</x:f>
        <x:v>1166.6666666666665</x:v>
      </x:c>
      <x:c r="W49" s="76" t="n">
        <x:f>IF(COUNT(W14,W25)=2,SUM(W14,W25),"n.a.")</x:f>
        <x:v>1333.3333333333333</x:v>
      </x:c>
      <x:c r="X49" s="76" t="n">
        <x:f>IF(COUNT(X14,X25)=2,SUM(X14,X25),"n.a.")</x:f>
        <x:v>1500</x:v>
      </x:c>
      <x:c r="Y49" s="76" t="n">
        <x:f>IF(COUNT(Y14,Y25)=2,SUM(Y14,Y25),"n.a.")</x:f>
        <x:v>1666.6666666666665</x:v>
      </x:c>
      <x:c r="Z49" s="76" t="n">
        <x:f>IF(COUNT(Z14,Z25)=2,SUM(Z14,Z25),"n.a.")</x:f>
        <x:v>1833.333333333333</x:v>
      </x:c>
      <x:c r="AA49" s="76" t="n">
        <x:f>IF(COUNT(AA14,AA25)=2,SUM(AA14,AA25),"n.a.")</x:f>
        <x:v>1999.9999999999998</x:v>
      </x:c>
      <x:c r="AB49" s="76" t="n">
        <x:f>IF(COUNT(AB14,AB25)=2,SUM(AB14,AB25),"n.a.")</x:f>
        <x:v>2166.6666666666665</x:v>
      </x:c>
      <x:c r="AC49" s="76" t="n">
        <x:f>IF(COUNT(AC14,AC25)=2,SUM(AC14,AC25),"n.a.")</x:f>
        <x:v>2333.333333333333</x:v>
      </x:c>
      <x:c r="AD49" s="76" t="n">
        <x:f>IF(COUNT(AD14,AD25)=2,SUM(AD14,AD25),"n.a.")</x:f>
        <x:v>2499.9999999999995</x:v>
      </x:c>
      <x:c r="AE49" s="76" t="n">
        <x:f>IF(COUNT(AE14,AE25)=2,SUM(AE14,AE25),"n.a.")</x:f>
        <x:v>2666.666666666666</x:v>
      </x:c>
      <x:c r="AF49" s="76" t="n">
        <x:f>IF(COUNT(AF14,AF25)=2,SUM(AF14,AF25),"n.a.")</x:f>
        <x:v>2833.333333333333</x:v>
      </x:c>
      <x:c r="AG49" s="76" t="n">
        <x:f>IF(COUNT(AG14,AG25)=2,SUM(AG14,AG25),"n.a.")</x:f>
        <x:v>2999.9999999999995</x:v>
      </x:c>
      <x:c r="AH49" s="76" t="n">
        <x:f>IF(COUNT(AH14,AH25)=2,SUM(AH14,AH25),"n.a.")</x:f>
        <x:v>3374.9999999999995</x:v>
      </x:c>
      <x:c r="AI49" s="76" t="n">
        <x:f>IF(COUNT(AI14,AI25)=2,SUM(AI14,AI25),"n.a.")</x:f>
        <x:v>3749.9999999999995</x:v>
      </x:c>
      <x:c r="AJ49" s="76" t="n">
        <x:f>IF(COUNT(AJ14,AJ25)=2,SUM(AJ14,AJ25),"n.a.")</x:f>
        <x:v>4125</x:v>
      </x:c>
      <x:c r="AK49" s="76" t="n">
        <x:f>IF(COUNT(AK14,AK25)=2,SUM(AK14,AK25),"n.a.")</x:f>
        <x:v>4500</x:v>
      </x:c>
      <x:c r="AL49" s="76" t="n">
        <x:f>IF(COUNT(AL14,AL25)=2,SUM(AL14,AL25),"n.a.")</x:f>
        <x:v>4875</x:v>
      </x:c>
      <x:c r="AM49" s="76" t="n">
        <x:f>IF(COUNT(AM14,AM25)=2,SUM(AM14,AM25),"n.a.")</x:f>
        <x:v>5250</x:v>
      </x:c>
      <x:c r="AN49" s="76" t="n">
        <x:f>IF(COUNT(AN14,AN25)=2,SUM(AN14,AN25),"n.a.")</x:f>
        <x:v>5625</x:v>
      </x:c>
      <x:c r="AO49" s="76" t="n">
        <x:f>IF(COUNT(AO14,AO25)=2,SUM(AO14,AO25),"n.a.")</x:f>
        <x:v>6000</x:v>
      </x:c>
      <x:c r="AP49" s="76" t="n">
        <x:f>IF(COUNT(AP14,AP25)=2,SUM(AP14,AP25),"n.a.")</x:f>
        <x:v>6375</x:v>
      </x:c>
      <x:c r="AQ49" s="76" t="n">
        <x:f>IF(COUNT(AQ14,AQ25)=2,SUM(AQ14,AQ25),"n.a.")</x:f>
        <x:v>6750</x:v>
      </x:c>
      <x:c r="AR49" s="76" t="n">
        <x:f>IF(COUNT(AR14,AR25)=2,SUM(AR14,AR25),"n.a.")</x:f>
        <x:v>7125</x:v>
      </x:c>
      <x:c r="AS49" s="76" t="n">
        <x:f>IF(COUNT(AS14,AS25)=2,SUM(AS14,AS25),"n.a.")</x:f>
        <x:v>7500</x:v>
      </x:c>
      <x:c r="AT49" s="76" t="n">
        <x:f>IF(COUNT(AT14,AT25)=2,SUM(AT14,AT25),"n.a.")</x:f>
        <x:v>8166.666666666666</x:v>
      </x:c>
      <x:c r="AU49" s="76" t="n">
        <x:f>IF(COUNT(AU14,AU25)=2,SUM(AU14,AU25),"n.a.")</x:f>
        <x:v>8833.333333333334</x:v>
      </x:c>
      <x:c r="AV49" s="76" t="n">
        <x:f>IF(COUNT(AV14,AV25)=2,SUM(AV14,AV25),"n.a.")</x:f>
        <x:v>9500</x:v>
      </x:c>
      <x:c r="AW49" s="76" t="n">
        <x:f>IF(COUNT(AW14,AW25)=2,SUM(AW14,AW25),"n.a.")</x:f>
        <x:v>10166.666666666668</x:v>
      </x:c>
      <x:c r="AX49" s="76" t="n">
        <x:f>IF(COUNT(AX14,AX25)=2,SUM(AX14,AX25),"n.a.")</x:f>
        <x:v>10833.333333333334</x:v>
      </x:c>
      <x:c r="AY49" s="76" t="n">
        <x:f>IF(COUNT(AY14,AY25)=2,SUM(AY14,AY25),"n.a.")</x:f>
        <x:v>11500.000000000002</x:v>
      </x:c>
      <x:c r="AZ49" s="76" t="n">
        <x:f>IF(COUNT(AZ14,AZ25)=2,SUM(AZ14,AZ25),"n.a.")</x:f>
        <x:v>12166.666666666668</x:v>
      </x:c>
      <x:c r="BA49" s="76" t="n">
        <x:f>IF(COUNT(BA14,BA25)=2,SUM(BA14,BA25),"n.a.")</x:f>
        <x:v>12833.333333333336</x:v>
      </x:c>
      <x:c r="BB49" s="76" t="n">
        <x:f>IF(COUNT(BB14,BB25)=2,SUM(BB14,BB25),"n.a.")</x:f>
        <x:v>13500.000000000002</x:v>
      </x:c>
      <x:c r="BC49" s="76" t="n">
        <x:f>IF(COUNT(BC14,BC25)=2,SUM(BC14,BC25),"n.a.")</x:f>
        <x:v>14166.666666666668</x:v>
      </x:c>
      <x:c r="BD49" s="76" t="n">
        <x:f>IF(COUNT(BD14,BD25)=2,SUM(BD14,BD25),"n.a.")</x:f>
        <x:v>14833.333333333334</x:v>
      </x:c>
      <x:c r="BE49" s="76" t="n">
        <x:f>IF(COUNT(BE14,BE25)=2,SUM(BE14,BE25),"n.a.")</x:f>
        <x:v>15500</x:v>
      </x:c>
      <x:c r="BF49" s="76" t="n">
        <x:f>IF(COUNT(BF14,BF25)=2,SUM(BF14,BF25),"n.a.")</x:f>
        <x:v>16708.333333333336</x:v>
      </x:c>
      <x:c r="BG49" s="76" t="n">
        <x:f>IF(COUNT(BG14,BG25)=2,SUM(BG14,BG25),"n.a.")</x:f>
        <x:v>17916.666666666668</x:v>
      </x:c>
      <x:c r="BH49" s="76" t="n">
        <x:f>IF(COUNT(BH14,BH25)=2,SUM(BH14,BH25),"n.a.")</x:f>
        <x:v>19125</x:v>
      </x:c>
      <x:c r="BI49" s="76" t="n">
        <x:f>IF(COUNT(BI14,BI25)=2,SUM(BI14,BI25),"n.a.")</x:f>
        <x:v>20333.333333333336</x:v>
      </x:c>
      <x:c r="BJ49" s="76" t="n">
        <x:f>IF(COUNT(BJ14,BJ25)=2,SUM(BJ14,BJ25),"n.a.")</x:f>
        <x:v>21541.66666666667</x:v>
      </x:c>
      <x:c r="BK49" s="76" t="n">
        <x:f>IF(COUNT(BK14,BK25)=2,SUM(BK14,BK25),"n.a.")</x:f>
        <x:v>22750.000000000004</x:v>
      </x:c>
      <x:c r="BL49" s="76" t="n">
        <x:f>IF(COUNT(BL14,BL25)=2,SUM(BL14,BL25),"n.a.")</x:f>
        <x:v>23958.333333333336</x:v>
      </x:c>
      <x:c r="BM49" s="76" t="n">
        <x:f>IF(COUNT(BM14,BM25)=2,SUM(BM14,BM25),"n.a.")</x:f>
        <x:v>25166.66666666667</x:v>
      </x:c>
      <x:c r="BN49" s="76" t="n">
        <x:f>IF(COUNT(BN14,BN25)=2,SUM(BN14,BN25),"n.a.")</x:f>
        <x:v>26375.000000000004</x:v>
      </x:c>
      <x:c r="BO49" s="76" t="n">
        <x:f>IF(COUNT(BO14,BO25)=2,SUM(BO14,BO25),"n.a.")</x:f>
        <x:v>27583.333333333336</x:v>
      </x:c>
      <x:c r="BP49" s="76" t="n">
        <x:f>IF(COUNT(BP14,BP25)=2,SUM(BP14,BP25),"n.a.")</x:f>
        <x:v>28791.666666666668</x:v>
      </x:c>
      <x:c r="BQ49" s="76" t="n">
        <x:f>IF(COUNT(BQ14,BQ25)=2,SUM(BQ14,BQ25),"n.a.")</x:f>
        <x:v>30000</x:v>
      </x:c>
    </x:row>
    <x:row r="50" ht="23" customHeight="1">
      <x:c r="A50" s="2"/>
      <x:c r="B50" s="2"/>
      <x:c r="C50" s="2" t="str">
        <x:v>Gross retail sales: planned / required</x:v>
      </x:c>
      <x:c r="D50" s="76" t="str">
        <x:f>IF(COUNT(J50:U50)=12,SUM(J50:U50),"n.a.")</x:f>
        <x:v>n.a.</x:v>
      </x:c>
      <x:c r="E50" s="76" t="str">
        <x:f>IF(COUNT(V50:AG50)=12,SUM(V50:AG50),"n.a.")</x:f>
        <x:v>n.a.</x:v>
      </x:c>
      <x:c r="F50" s="76" t="str">
        <x:f>IF(COUNT(AH50:AS50)=12,SUM(AH50:AS50),"n.a.")</x:f>
        <x:v>n.a.</x:v>
      </x:c>
      <x:c r="G50" s="76" t="str">
        <x:f>IF(COUNT(AT50:BE50)=12,SUM(AT50:BE50),"n.a.")</x:f>
        <x:v>n.a.</x:v>
      </x:c>
      <x:c r="H50" s="76" t="str">
        <x:f>IF(COUNT(BF50:BQ50)=12,SUM(BF50:BQ50),"n.a.")</x:f>
        <x:v>n.a.</x:v>
      </x:c>
      <x:c r="I50" s="76" t="n">
        <x:f>SUM(I13,I24)</x:f>
        <x:v>500</x:v>
      </x:c>
      <x:c r="J50" s="76" t="str">
        <x:f>IF(COUNT(J13,J24)=2,SUM(J13,J24),"n.a.")</x:f>
        <x:v>n.a.</x:v>
      </x:c>
      <x:c r="K50" s="76" t="str">
        <x:f>IF(COUNT(K13,K24)=2,SUM(K13,K24),"n.a.")</x:f>
        <x:v>n.a.</x:v>
      </x:c>
      <x:c r="L50" s="76" t="str">
        <x:f>IF(COUNT(L13,L24)=2,SUM(L13,L24),"n.a.")</x:f>
        <x:v>n.a.</x:v>
      </x:c>
      <x:c r="M50" s="76" t="str">
        <x:f>IF(COUNT(M13,M24)=2,SUM(M13,M24),"n.a.")</x:f>
        <x:v>n.a.</x:v>
      </x:c>
      <x:c r="N50" s="76" t="str">
        <x:f>IF(COUNT(N13,N24)=2,SUM(N13,N24),"n.a.")</x:f>
        <x:v>n.a.</x:v>
      </x:c>
      <x:c r="O50" s="76" t="str">
        <x:f>IF(COUNT(O13,O24)=2,SUM(O13,O24),"n.a.")</x:f>
        <x:v>n.a.</x:v>
      </x:c>
      <x:c r="P50" s="76" t="str">
        <x:f>IF(COUNT(P13,P24)=2,SUM(P13,P24),"n.a.")</x:f>
        <x:v>n.a.</x:v>
      </x:c>
      <x:c r="Q50" s="76" t="str">
        <x:f>IF(COUNT(Q13,Q24)=2,SUM(Q13,Q24),"n.a.")</x:f>
        <x:v>n.a.</x:v>
      </x:c>
      <x:c r="R50" s="76" t="str">
        <x:f>IF(COUNT(R13,R24)=2,SUM(R13,R24),"n.a.")</x:f>
        <x:v>n.a.</x:v>
      </x:c>
      <x:c r="S50" s="76" t="str">
        <x:f>IF(COUNT(S13,S24)=2,SUM(S13,S24),"n.a.")</x:f>
        <x:v>n.a.</x:v>
      </x:c>
      <x:c r="T50" s="76" t="str">
        <x:f>IF(COUNT(T13,T24)=2,SUM(T13,T24),"n.a.")</x:f>
        <x:v>n.a.</x:v>
      </x:c>
      <x:c r="U50" s="76" t="str">
        <x:f>IF(COUNT(U13,U24)=2,SUM(U13,U24),"n.a.")</x:f>
        <x:v>n.a.</x:v>
      </x:c>
      <x:c r="V50" s="76" t="str">
        <x:f>IF(COUNT(V13,V24)=2,SUM(V13,V24),"n.a.")</x:f>
        <x:v>n.a.</x:v>
      </x:c>
      <x:c r="W50" s="76" t="str">
        <x:f>IF(COUNT(W13,W24)=2,SUM(W13,W24),"n.a.")</x:f>
        <x:v>n.a.</x:v>
      </x:c>
      <x:c r="X50" s="76" t="str">
        <x:f>IF(COUNT(X13,X24)=2,SUM(X13,X24),"n.a.")</x:f>
        <x:v>n.a.</x:v>
      </x:c>
      <x:c r="Y50" s="76" t="str">
        <x:f>IF(COUNT(Y13,Y24)=2,SUM(Y13,Y24),"n.a.")</x:f>
        <x:v>n.a.</x:v>
      </x:c>
      <x:c r="Z50" s="76" t="str">
        <x:f>IF(COUNT(Z13,Z24)=2,SUM(Z13,Z24),"n.a.")</x:f>
        <x:v>n.a.</x:v>
      </x:c>
      <x:c r="AA50" s="76" t="str">
        <x:f>IF(COUNT(AA13,AA24)=2,SUM(AA13,AA24),"n.a.")</x:f>
        <x:v>n.a.</x:v>
      </x:c>
      <x:c r="AB50" s="76" t="str">
        <x:f>IF(COUNT(AB13,AB24)=2,SUM(AB13,AB24),"n.a.")</x:f>
        <x:v>n.a.</x:v>
      </x:c>
      <x:c r="AC50" s="76" t="str">
        <x:f>IF(COUNT(AC13,AC24)=2,SUM(AC13,AC24),"n.a.")</x:f>
        <x:v>n.a.</x:v>
      </x:c>
      <x:c r="AD50" s="76" t="str">
        <x:f>IF(COUNT(AD13,AD24)=2,SUM(AD13,AD24),"n.a.")</x:f>
        <x:v>n.a.</x:v>
      </x:c>
      <x:c r="AE50" s="76" t="str">
        <x:f>IF(COUNT(AE13,AE24)=2,SUM(AE13,AE24),"n.a.")</x:f>
        <x:v>n.a.</x:v>
      </x:c>
      <x:c r="AF50" s="76" t="str">
        <x:f>IF(COUNT(AF13,AF24)=2,SUM(AF13,AF24),"n.a.")</x:f>
        <x:v>n.a.</x:v>
      </x:c>
      <x:c r="AG50" s="76" t="str">
        <x:f>IF(COUNT(AG13,AG24)=2,SUM(AG13,AG24),"n.a.")</x:f>
        <x:v>n.a.</x:v>
      </x:c>
      <x:c r="AH50" s="76" t="str">
        <x:f>IF(COUNT(AH13,AH24)=2,SUM(AH13,AH24),"n.a.")</x:f>
        <x:v>n.a.</x:v>
      </x:c>
      <x:c r="AI50" s="76" t="str">
        <x:f>IF(COUNT(AI13,AI24)=2,SUM(AI13,AI24),"n.a.")</x:f>
        <x:v>n.a.</x:v>
      </x:c>
      <x:c r="AJ50" s="76" t="str">
        <x:f>IF(COUNT(AJ13,AJ24)=2,SUM(AJ13,AJ24),"n.a.")</x:f>
        <x:v>n.a.</x:v>
      </x:c>
      <x:c r="AK50" s="76" t="str">
        <x:f>IF(COUNT(AK13,AK24)=2,SUM(AK13,AK24),"n.a.")</x:f>
        <x:v>n.a.</x:v>
      </x:c>
      <x:c r="AL50" s="76" t="str">
        <x:f>IF(COUNT(AL13,AL24)=2,SUM(AL13,AL24),"n.a.")</x:f>
        <x:v>n.a.</x:v>
      </x:c>
      <x:c r="AM50" s="76" t="str">
        <x:f>IF(COUNT(AM13,AM24)=2,SUM(AM13,AM24),"n.a.")</x:f>
        <x:v>n.a.</x:v>
      </x:c>
      <x:c r="AN50" s="76" t="str">
        <x:f>IF(COUNT(AN13,AN24)=2,SUM(AN13,AN24),"n.a.")</x:f>
        <x:v>n.a.</x:v>
      </x:c>
      <x:c r="AO50" s="76" t="str">
        <x:f>IF(COUNT(AO13,AO24)=2,SUM(AO13,AO24),"n.a.")</x:f>
        <x:v>n.a.</x:v>
      </x:c>
      <x:c r="AP50" s="76" t="str">
        <x:f>IF(COUNT(AP13,AP24)=2,SUM(AP13,AP24),"n.a.")</x:f>
        <x:v>n.a.</x:v>
      </x:c>
      <x:c r="AQ50" s="76" t="str">
        <x:f>IF(COUNT(AQ13,AQ24)=2,SUM(AQ13,AQ24),"n.a.")</x:f>
        <x:v>n.a.</x:v>
      </x:c>
      <x:c r="AR50" s="76" t="str">
        <x:f>IF(COUNT(AR13,AR24)=2,SUM(AR13,AR24),"n.a.")</x:f>
        <x:v>n.a.</x:v>
      </x:c>
      <x:c r="AS50" s="76" t="str">
        <x:f>IF(COUNT(AS13,AS24)=2,SUM(AS13,AS24),"n.a.")</x:f>
        <x:v>n.a.</x:v>
      </x:c>
      <x:c r="AT50" s="76" t="str">
        <x:f>IF(COUNT(AT13,AT24)=2,SUM(AT13,AT24),"n.a.")</x:f>
        <x:v>n.a.</x:v>
      </x:c>
      <x:c r="AU50" s="76" t="str">
        <x:f>IF(COUNT(AU13,AU24)=2,SUM(AU13,AU24),"n.a.")</x:f>
        <x:v>n.a.</x:v>
      </x:c>
      <x:c r="AV50" s="76" t="str">
        <x:f>IF(COUNT(AV13,AV24)=2,SUM(AV13,AV24),"n.a.")</x:f>
        <x:v>n.a.</x:v>
      </x:c>
      <x:c r="AW50" s="76" t="str">
        <x:f>IF(COUNT(AW13,AW24)=2,SUM(AW13,AW24),"n.a.")</x:f>
        <x:v>n.a.</x:v>
      </x:c>
      <x:c r="AX50" s="76" t="str">
        <x:f>IF(COUNT(AX13,AX24)=2,SUM(AX13,AX24),"n.a.")</x:f>
        <x:v>n.a.</x:v>
      </x:c>
      <x:c r="AY50" s="76" t="str">
        <x:f>IF(COUNT(AY13,AY24)=2,SUM(AY13,AY24),"n.a.")</x:f>
        <x:v>n.a.</x:v>
      </x:c>
      <x:c r="AZ50" s="76" t="str">
        <x:f>IF(COUNT(AZ13,AZ24)=2,SUM(AZ13,AZ24),"n.a.")</x:f>
        <x:v>n.a.</x:v>
      </x:c>
      <x:c r="BA50" s="76" t="str">
        <x:f>IF(COUNT(BA13,BA24)=2,SUM(BA13,BA24),"n.a.")</x:f>
        <x:v>n.a.</x:v>
      </x:c>
      <x:c r="BB50" s="76" t="str">
        <x:f>IF(COUNT(BB13,BB24)=2,SUM(BB13,BB24),"n.a.")</x:f>
        <x:v>n.a.</x:v>
      </x:c>
      <x:c r="BC50" s="76" t="str">
        <x:f>IF(COUNT(BC13,BC24)=2,SUM(BC13,BC24),"n.a.")</x:f>
        <x:v>n.a.</x:v>
      </x:c>
      <x:c r="BD50" s="76" t="str">
        <x:f>IF(COUNT(BD13,BD24)=2,SUM(BD13,BD24),"n.a.")</x:f>
        <x:v>n.a.</x:v>
      </x:c>
      <x:c r="BE50" s="76" t="str">
        <x:f>IF(COUNT(BE13,BE24)=2,SUM(BE13,BE24),"n.a.")</x:f>
        <x:v>n.a.</x:v>
      </x:c>
      <x:c r="BF50" s="76" t="str">
        <x:f>IF(COUNT(BF13,BF24)=2,SUM(BF13,BF24),"n.a.")</x:f>
        <x:v>n.a.</x:v>
      </x:c>
      <x:c r="BG50" s="76" t="str">
        <x:f>IF(COUNT(BG13,BG24)=2,SUM(BG13,BG24),"n.a.")</x:f>
        <x:v>n.a.</x:v>
      </x:c>
      <x:c r="BH50" s="76" t="str">
        <x:f>IF(COUNT(BH13,BH24)=2,SUM(BH13,BH24),"n.a.")</x:f>
        <x:v>n.a.</x:v>
      </x:c>
      <x:c r="BI50" s="76" t="str">
        <x:f>IF(COUNT(BI13,BI24)=2,SUM(BI13,BI24),"n.a.")</x:f>
        <x:v>n.a.</x:v>
      </x:c>
      <x:c r="BJ50" s="76" t="str">
        <x:f>IF(COUNT(BJ13,BJ24)=2,SUM(BJ13,BJ24),"n.a.")</x:f>
        <x:v>n.a.</x:v>
      </x:c>
      <x:c r="BK50" s="76" t="str">
        <x:f>IF(COUNT(BK13,BK24)=2,SUM(BK13,BK24),"n.a.")</x:f>
        <x:v>n.a.</x:v>
      </x:c>
      <x:c r="BL50" s="76" t="str">
        <x:f>IF(COUNT(BL13,BL24)=2,SUM(BL13,BL24),"n.a.")</x:f>
        <x:v>n.a.</x:v>
      </x:c>
      <x:c r="BM50" s="76" t="str">
        <x:f>IF(COUNT(BM13,BM24)=2,SUM(BM13,BM24),"n.a.")</x:f>
        <x:v>n.a.</x:v>
      </x:c>
      <x:c r="BN50" s="76" t="str">
        <x:f>IF(COUNT(BN13,BN24)=2,SUM(BN13,BN24),"n.a.")</x:f>
        <x:v>n.a.</x:v>
      </x:c>
      <x:c r="BO50" s="76" t="str">
        <x:f>IF(COUNT(BO13,BO24)=2,SUM(BO13,BO24),"n.a.")</x:f>
        <x:v>n.a.</x:v>
      </x:c>
      <x:c r="BP50" s="76" t="str">
        <x:f>IF(COUNT(BP13,BP24)=2,SUM(BP13,BP24),"n.a.")</x:f>
        <x:v>n.a.</x:v>
      </x:c>
      <x:c r="BQ50" s="76" t="str">
        <x:f>IF(COUNT(BQ13,BQ24)=2,SUM(BQ13,BQ24),"n.a.")</x:f>
        <x:v>n.a.</x:v>
      </x:c>
    </x:row>
    <x:row r="51" ht="23" customHeight="1">
      <x:c r="A51" s="2"/>
      <x:c r="B51" s="2"/>
      <x:c r="C51" s="2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  <x:c r="AJ51" s="4"/>
      <x:c r="AK51" s="4"/>
      <x:c r="AL51" s="4"/>
      <x:c r="AM51" s="4"/>
      <x:c r="AN51" s="4"/>
      <x:c r="AO51" s="4"/>
      <x:c r="AP51" s="4"/>
      <x:c r="AQ51" s="4"/>
      <x:c r="AR51" s="4"/>
      <x:c r="AS51" s="4"/>
      <x:c r="AT51" s="4"/>
      <x:c r="AU51" s="4"/>
      <x:c r="AV51" s="4"/>
      <x:c r="AW51" s="4"/>
      <x:c r="AX51" s="4"/>
      <x:c r="AY51" s="4"/>
      <x:c r="AZ51" s="4"/>
      <x:c r="BA51" s="4"/>
      <x:c r="BB51" s="4"/>
      <x:c r="BC51" s="4"/>
      <x:c r="BD51" s="4"/>
      <x:c r="BE51" s="4"/>
      <x:c r="BF51" s="4"/>
      <x:c r="BG51" s="4"/>
      <x:c r="BH51" s="4"/>
      <x:c r="BI51" s="4"/>
      <x:c r="BJ51" s="4"/>
      <x:c r="BK51" s="4"/>
      <x:c r="BL51" s="4"/>
      <x:c r="BM51" s="4"/>
      <x:c r="BN51" s="4"/>
      <x:c r="BO51" s="4"/>
      <x:c r="BP51" s="4"/>
      <x:c r="BQ51" s="4"/>
    </x:row>
    <x:row r="52" ht="23" customHeight="1">
      <x:c r="A52" s="2"/>
      <x:c r="B52" s="2"/>
      <x:c r="C52" s="2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  <x:c r="AF52" s="4"/>
      <x:c r="AG52" s="4"/>
      <x:c r="AH52" s="4"/>
      <x:c r="AI52" s="4"/>
      <x:c r="AJ52" s="4"/>
      <x:c r="AK52" s="4"/>
      <x:c r="AL52" s="4"/>
      <x:c r="AM52" s="4"/>
      <x:c r="AN52" s="4"/>
      <x:c r="AO52" s="4"/>
      <x:c r="AP52" s="4"/>
      <x:c r="AQ52" s="4"/>
      <x:c r="AR52" s="4"/>
      <x:c r="AS52" s="4"/>
      <x:c r="AT52" s="4"/>
      <x:c r="AU52" s="4"/>
      <x:c r="AV52" s="4"/>
      <x:c r="AW52" s="4"/>
      <x:c r="AX52" s="4"/>
      <x:c r="AY52" s="4"/>
      <x:c r="AZ52" s="4"/>
      <x:c r="BA52" s="4"/>
      <x:c r="BB52" s="4"/>
      <x:c r="BC52" s="4"/>
      <x:c r="BD52" s="4"/>
      <x:c r="BE52" s="4"/>
      <x:c r="BF52" s="4"/>
      <x:c r="BG52" s="4"/>
      <x:c r="BH52" s="4"/>
      <x:c r="BI52" s="4"/>
      <x:c r="BJ52" s="4"/>
      <x:c r="BK52" s="4"/>
      <x:c r="BL52" s="4"/>
      <x:c r="BM52" s="4"/>
      <x:c r="BN52" s="4"/>
      <x:c r="BO52" s="4"/>
      <x:c r="BP52" s="4"/>
      <x:c r="BQ52" s="4"/>
    </x:row>
    <x:row r="53" ht="22" customHeight="1">
      <x:c r="A53" s="2"/>
      <x:c r="B53" s="2"/>
      <x:c r="C53" s="10" t="str">
        <x:v>Year 1: strategy opening + planned new sales - cancellations = closing. Later years retain deck year-end goals.</x:v>
      </x:c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  <x:c r="O53" s="50"/>
      <x:c r="P53" s="50"/>
      <x:c r="Q53" s="50"/>
      <x:c r="R53" s="50"/>
      <x:c r="S53" s="50"/>
      <x:c r="T53" s="50"/>
      <x:c r="U53" s="50"/>
      <x:c r="V53" s="50"/>
      <x:c r="W53" s="50"/>
      <x:c r="X53" s="50"/>
      <x:c r="Y53" s="50"/>
      <x:c r="Z53" s="50"/>
      <x:c r="AA53" s="50"/>
      <x:c r="AB53" s="50"/>
      <x:c r="AC53" s="50"/>
      <x:c r="AD53" s="50"/>
      <x:c r="AE53" s="50"/>
      <x:c r="AF53" s="50"/>
      <x:c r="AG53" s="50"/>
      <x:c r="AH53" s="50"/>
      <x:c r="AI53" s="50"/>
      <x:c r="AJ53" s="50"/>
      <x:c r="AK53" s="50"/>
      <x:c r="AL53" s="50"/>
      <x:c r="AM53" s="50"/>
      <x:c r="AN53" s="50"/>
      <x:c r="AO53" s="50"/>
      <x:c r="AP53" s="50"/>
      <x:c r="AQ53" s="50"/>
      <x:c r="AR53" s="50"/>
      <x:c r="AS53" s="50"/>
      <x:c r="AT53" s="50"/>
      <x:c r="AU53" s="50"/>
      <x:c r="AV53" s="50"/>
      <x:c r="AW53" s="50"/>
      <x:c r="AX53" s="50"/>
      <x:c r="AY53" s="50"/>
      <x:c r="AZ53" s="50"/>
      <x:c r="BA53" s="50"/>
      <x:c r="BB53" s="50"/>
      <x:c r="BC53" s="50"/>
      <x:c r="BD53" s="50"/>
      <x:c r="BE53" s="50"/>
      <x:c r="BF53" s="50"/>
      <x:c r="BG53" s="50"/>
      <x:c r="BH53" s="50"/>
      <x:c r="BI53" s="50"/>
      <x:c r="BJ53" s="50"/>
      <x:c r="BK53" s="50"/>
      <x:c r="BL53" s="50"/>
      <x:c r="BM53" s="50"/>
      <x:c r="BN53" s="50"/>
      <x:c r="BO53" s="50"/>
      <x:c r="BP53" s="50"/>
      <x:c r="BQ53" s="50"/>
    </x:row>
    <x:row r="54" ht="22" customHeight="1">
      <x:c r="A54" s="2"/>
      <x:c r="B54" s="2"/>
      <x:c r="C54" s="10" t="str">
        <x:v>Year 1 example: 500 launch customers, $500/month, no cancellations, no additional sales. These are planning assumptions.</x:v>
      </x:c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  <x:c r="O54" s="50"/>
      <x:c r="P54" s="50"/>
      <x:c r="Q54" s="50"/>
      <x:c r="R54" s="50"/>
      <x:c r="S54" s="50"/>
      <x:c r="T54" s="50"/>
      <x:c r="U54" s="50"/>
      <x:c r="V54" s="50"/>
      <x:c r="W54" s="50"/>
      <x:c r="X54" s="50"/>
      <x:c r="Y54" s="50"/>
      <x:c r="Z54" s="50"/>
      <x:c r="AA54" s="50"/>
      <x:c r="AB54" s="50"/>
      <x:c r="AC54" s="50"/>
      <x:c r="AD54" s="50"/>
      <x:c r="AE54" s="50"/>
      <x:c r="AF54" s="50"/>
      <x:c r="AG54" s="50"/>
      <x:c r="AH54" s="50"/>
      <x:c r="AI54" s="50"/>
      <x:c r="AJ54" s="50"/>
      <x:c r="AK54" s="50"/>
      <x:c r="AL54" s="50"/>
      <x:c r="AM54" s="50"/>
      <x:c r="AN54" s="50"/>
      <x:c r="AO54" s="50"/>
      <x:c r="AP54" s="50"/>
      <x:c r="AQ54" s="50"/>
      <x:c r="AR54" s="50"/>
      <x:c r="AS54" s="50"/>
      <x:c r="AT54" s="50"/>
      <x:c r="AU54" s="50"/>
      <x:c r="AV54" s="50"/>
      <x:c r="AW54" s="50"/>
      <x:c r="AX54" s="50"/>
      <x:c r="AY54" s="50"/>
      <x:c r="AZ54" s="50"/>
      <x:c r="BA54" s="50"/>
      <x:c r="BB54" s="50"/>
      <x:c r="BC54" s="50"/>
      <x:c r="BD54" s="50"/>
      <x:c r="BE54" s="50"/>
      <x:c r="BF54" s="50"/>
      <x:c r="BG54" s="50"/>
      <x:c r="BH54" s="50"/>
      <x:c r="BI54" s="50"/>
      <x:c r="BJ54" s="50"/>
      <x:c r="BK54" s="50"/>
      <x:c r="BL54" s="50"/>
      <x:c r="BM54" s="50"/>
      <x:c r="BN54" s="50"/>
      <x:c r="BO54" s="50"/>
      <x:c r="BP54" s="50"/>
      <x:c r="BQ54" s="50"/>
    </x:row>
    <x:row r="55" ht="22" customHeight="1">
      <x:c r="A55" s="2"/>
      <x:c r="B55" s="2"/>
      <x:c r="C55" s="10" t="str">
        <x:v>RIA allocations and corporate contracts ramp linearly. Actual deals are lumpy; use signed start dates when available.</x:v>
      </x:c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  <x:c r="O55" s="50"/>
      <x:c r="P55" s="50"/>
      <x:c r="Q55" s="50"/>
      <x:c r="R55" s="50"/>
      <x:c r="S55" s="50"/>
      <x:c r="T55" s="50"/>
      <x:c r="U55" s="50"/>
      <x:c r="V55" s="50"/>
      <x:c r="W55" s="50"/>
      <x:c r="X55" s="50"/>
      <x:c r="Y55" s="50"/>
      <x:c r="Z55" s="50"/>
      <x:c r="AA55" s="50"/>
      <x:c r="AB55" s="50"/>
      <x:c r="AC55" s="50"/>
      <x:c r="AD55" s="50"/>
      <x:c r="AE55" s="50"/>
      <x:c r="AF55" s="50"/>
      <x:c r="AG55" s="50"/>
      <x:c r="AH55" s="50"/>
      <x:c r="AI55" s="50"/>
      <x:c r="AJ55" s="50"/>
      <x:c r="AK55" s="50"/>
      <x:c r="AL55" s="50"/>
      <x:c r="AM55" s="50"/>
      <x:c r="AN55" s="50"/>
      <x:c r="AO55" s="50"/>
      <x:c r="AP55" s="50"/>
      <x:c r="AQ55" s="50"/>
      <x:c r="AR55" s="50"/>
      <x:c r="AS55" s="50"/>
      <x:c r="AT55" s="50"/>
      <x:c r="AU55" s="50"/>
      <x:c r="AV55" s="50"/>
      <x:c r="AW55" s="50"/>
      <x:c r="AX55" s="50"/>
      <x:c r="AY55" s="50"/>
      <x:c r="AZ55" s="50"/>
      <x:c r="BA55" s="50"/>
      <x:c r="BB55" s="50"/>
      <x:c r="BC55" s="50"/>
      <x:c r="BD55" s="50"/>
      <x:c r="BE55" s="50"/>
      <x:c r="BF55" s="50"/>
      <x:c r="BG55" s="50"/>
      <x:c r="BH55" s="50"/>
      <x:c r="BI55" s="50"/>
      <x:c r="BJ55" s="50"/>
      <x:c r="BK55" s="50"/>
      <x:c r="BL55" s="50"/>
      <x:c r="BM55" s="50"/>
      <x:c r="BN55" s="50"/>
      <x:c r="BO55" s="50"/>
      <x:c r="BP55" s="50"/>
      <x:c r="BQ55" s="50"/>
    </x:row>
    <x:row r="56" ht="22" customHeight="1">
      <x:c r="A56" s="2"/>
      <x:c r="B56" s="2"/>
      <x:c r="C56" s="10" t="str">
        <x:v>App subscribers exclude access bundled with a strategy. Subscription totals are not verified unique people.</x:v>
      </x:c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  <x:c r="O56" s="50"/>
      <x:c r="P56" s="50"/>
      <x:c r="Q56" s="50"/>
      <x:c r="R56" s="50"/>
      <x:c r="S56" s="50"/>
      <x:c r="T56" s="50"/>
      <x:c r="U56" s="50"/>
      <x:c r="V56" s="50"/>
      <x:c r="W56" s="50"/>
      <x:c r="X56" s="50"/>
      <x:c r="Y56" s="50"/>
      <x:c r="Z56" s="50"/>
      <x:c r="AA56" s="50"/>
      <x:c r="AB56" s="50"/>
      <x:c r="AC56" s="50"/>
      <x:c r="AD56" s="50"/>
      <x:c r="AE56" s="50"/>
      <x:c r="AF56" s="50"/>
      <x:c r="AG56" s="50"/>
      <x:c r="AH56" s="50"/>
      <x:c r="AI56" s="50"/>
      <x:c r="AJ56" s="50"/>
      <x:c r="AK56" s="50"/>
      <x:c r="AL56" s="50"/>
      <x:c r="AM56" s="50"/>
      <x:c r="AN56" s="50"/>
      <x:c r="AO56" s="50"/>
      <x:c r="AP56" s="50"/>
      <x:c r="AQ56" s="50"/>
      <x:c r="AR56" s="50"/>
      <x:c r="AS56" s="50"/>
      <x:c r="AT56" s="50"/>
      <x:c r="AU56" s="50"/>
      <x:c r="AV56" s="50"/>
      <x:c r="AW56" s="50"/>
      <x:c r="AX56" s="50"/>
      <x:c r="AY56" s="50"/>
      <x:c r="AZ56" s="50"/>
      <x:c r="BA56" s="50"/>
      <x:c r="BB56" s="50"/>
      <x:c r="BC56" s="50"/>
      <x:c r="BD56" s="50"/>
      <x:c r="BE56" s="50"/>
      <x:c r="BF56" s="50"/>
      <x:c r="BG56" s="50"/>
      <x:c r="BH56" s="50"/>
      <x:c r="BI56" s="50"/>
      <x:c r="BJ56" s="50"/>
      <x:c r="BK56" s="50"/>
      <x:c r="BL56" s="50"/>
      <x:c r="BM56" s="50"/>
      <x:c r="BN56" s="50"/>
      <x:c r="BO56" s="50"/>
      <x:c r="BP56" s="50"/>
      <x:c r="BQ56" s="50"/>
    </x:row>
    <x:row r="57" ht="22" customHeight="1">
      <x:c r="A57" s="2"/>
      <x:c r="B57" s="2"/>
      <x:c r="C57" s="10" t="str">
        <x:v>Revenue is a modeled service-period amount. No annual prepayment, discounts, refunds, taxes or receivables are inferred.</x:v>
      </x:c>
      <x:c r="D57" s="50"/>
      <x:c r="E57" s="50"/>
      <x:c r="F57" s="50"/>
      <x:c r="G57" s="50"/>
      <x:c r="H57" s="50"/>
      <x:c r="I57" s="50"/>
      <x:c r="J57" s="50"/>
      <x:c r="K57" s="50"/>
      <x:c r="L57" s="50"/>
      <x:c r="M57" s="50"/>
      <x:c r="N57" s="50"/>
      <x:c r="O57" s="50"/>
      <x:c r="P57" s="50"/>
      <x:c r="Q57" s="50"/>
      <x:c r="R57" s="50"/>
      <x:c r="S57" s="50"/>
      <x:c r="T57" s="50"/>
      <x:c r="U57" s="50"/>
      <x:c r="V57" s="50"/>
      <x:c r="W57" s="50"/>
      <x:c r="X57" s="50"/>
      <x:c r="Y57" s="50"/>
      <x:c r="Z57" s="50"/>
      <x:c r="AA57" s="50"/>
      <x:c r="AB57" s="50"/>
      <x:c r="AC57" s="50"/>
      <x:c r="AD57" s="50"/>
      <x:c r="AE57" s="50"/>
      <x:c r="AF57" s="50"/>
      <x:c r="AG57" s="50"/>
      <x:c r="AH57" s="50"/>
      <x:c r="AI57" s="50"/>
      <x:c r="AJ57" s="50"/>
      <x:c r="AK57" s="50"/>
      <x:c r="AL57" s="50"/>
      <x:c r="AM57" s="50"/>
      <x:c r="AN57" s="50"/>
      <x:c r="AO57" s="50"/>
      <x:c r="AP57" s="50"/>
      <x:c r="AQ57" s="50"/>
      <x:c r="AR57" s="50"/>
      <x:c r="AS57" s="50"/>
      <x:c r="AT57" s="50"/>
      <x:c r="AU57" s="50"/>
      <x:c r="AV57" s="50"/>
      <x:c r="AW57" s="50"/>
      <x:c r="AX57" s="50"/>
      <x:c r="AY57" s="50"/>
      <x:c r="AZ57" s="50"/>
      <x:c r="BA57" s="50"/>
      <x:c r="BB57" s="50"/>
      <x:c r="BC57" s="50"/>
      <x:c r="BD57" s="50"/>
      <x:c r="BE57" s="50"/>
      <x:c r="BF57" s="50"/>
      <x:c r="BG57" s="50"/>
      <x:c r="BH57" s="50"/>
      <x:c r="BI57" s="50"/>
      <x:c r="BJ57" s="50"/>
      <x:c r="BK57" s="50"/>
      <x:c r="BL57" s="50"/>
      <x:c r="BM57" s="50"/>
      <x:c r="BN57" s="50"/>
      <x:c r="BO57" s="50"/>
      <x:c r="BP57" s="50"/>
      <x:c r="BQ57" s="50"/>
    </x:row>
    <x:row r="58" ht="22" customHeight="1">
      <x:c r="A58" s="2"/>
      <x:c r="B58" s="2"/>
      <x:c r="C58" s="10" t="str">
        <x:v>Column I is October 2026 launch revenue. Year 1 sums November 2026-October 2027 only. No 13-month annual total.</x:v>
      </x:c>
      <x:c r="D58" s="50"/>
      <x:c r="E58" s="50"/>
      <x:c r="F58" s="50"/>
      <x:c r="G58" s="50"/>
      <x:c r="H58" s="50"/>
      <x:c r="I58" s="50"/>
      <x:c r="J58" s="50"/>
      <x:c r="K58" s="50"/>
      <x:c r="L58" s="50"/>
      <x:c r="M58" s="50"/>
      <x:c r="N58" s="50"/>
      <x:c r="O58" s="50"/>
      <x:c r="P58" s="50"/>
      <x:c r="Q58" s="50"/>
      <x:c r="R58" s="50"/>
      <x:c r="S58" s="50"/>
      <x:c r="T58" s="50"/>
      <x:c r="U58" s="50"/>
      <x:c r="V58" s="50"/>
      <x:c r="W58" s="50"/>
      <x:c r="X58" s="50"/>
      <x:c r="Y58" s="50"/>
      <x:c r="Z58" s="50"/>
      <x:c r="AA58" s="50"/>
      <x:c r="AB58" s="50"/>
      <x:c r="AC58" s="50"/>
      <x:c r="AD58" s="50"/>
      <x:c r="AE58" s="50"/>
      <x:c r="AF58" s="50"/>
      <x:c r="AG58" s="50"/>
      <x:c r="AH58" s="50"/>
      <x:c r="AI58" s="50"/>
      <x:c r="AJ58" s="50"/>
      <x:c r="AK58" s="50"/>
      <x:c r="AL58" s="50"/>
      <x:c r="AM58" s="50"/>
      <x:c r="AN58" s="50"/>
      <x:c r="AO58" s="50"/>
      <x:c r="AP58" s="50"/>
      <x:c r="AQ58" s="50"/>
      <x:c r="AR58" s="50"/>
      <x:c r="AS58" s="50"/>
      <x:c r="AT58" s="50"/>
      <x:c r="AU58" s="50"/>
      <x:c r="AV58" s="50"/>
      <x:c r="AW58" s="50"/>
      <x:c r="AX58" s="50"/>
      <x:c r="AY58" s="50"/>
      <x:c r="AZ58" s="50"/>
      <x:c r="BA58" s="50"/>
      <x:c r="BB58" s="50"/>
      <x:c r="BC58" s="50"/>
      <x:c r="BD58" s="50"/>
      <x:c r="BE58" s="50"/>
      <x:c r="BF58" s="50"/>
      <x:c r="BG58" s="50"/>
      <x:c r="BH58" s="50"/>
      <x:c r="BI58" s="50"/>
      <x:c r="BJ58" s="50"/>
      <x:c r="BK58" s="50"/>
      <x:c r="BL58" s="50"/>
      <x:c r="BM58" s="50"/>
      <x:c r="BN58" s="50"/>
      <x:c r="BO58" s="50"/>
      <x:c r="BP58" s="50"/>
      <x:c r="BQ58" s="50"/>
    </x:row>
    <x:row r="59" ht="23" customHeight="1">
      <x:c r="A59" s="2"/>
      <x:c r="B59" s="2"/>
      <x:c r="C59" s="2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  <x:c r="AG59" s="4"/>
      <x:c r="AH59" s="4"/>
      <x:c r="AI59" s="4"/>
      <x:c r="AJ59" s="4"/>
      <x:c r="AK59" s="4"/>
      <x:c r="AL59" s="4"/>
      <x:c r="AM59" s="4"/>
      <x:c r="AN59" s="4"/>
      <x:c r="AO59" s="4"/>
      <x:c r="AP59" s="4"/>
      <x:c r="AQ59" s="4"/>
      <x:c r="AR59" s="4"/>
      <x:c r="AS59" s="4"/>
      <x:c r="AT59" s="4"/>
      <x:c r="AU59" s="4"/>
      <x:c r="AV59" s="4"/>
      <x:c r="AW59" s="4"/>
      <x:c r="AX59" s="4"/>
      <x:c r="AY59" s="4"/>
      <x:c r="AZ59" s="4"/>
      <x:c r="BA59" s="4"/>
      <x:c r="BB59" s="4"/>
      <x:c r="BC59" s="4"/>
      <x:c r="BD59" s="4"/>
      <x:c r="BE59" s="4"/>
      <x:c r="BF59" s="4"/>
      <x:c r="BG59" s="4"/>
      <x:c r="BH59" s="4"/>
      <x:c r="BI59" s="4"/>
      <x:c r="BJ59" s="4"/>
      <x:c r="BK59" s="4"/>
      <x:c r="BL59" s="4"/>
      <x:c r="BM59" s="4"/>
      <x:c r="BN59" s="4"/>
      <x:c r="BO59" s="4"/>
      <x:c r="BP59" s="4"/>
      <x:c r="BQ59" s="4"/>
    </x:row>
    <x:row r="60" ht="23" customHeight="1">
      <x:c r="A60" s="2"/>
      <x:c r="B60" s="2"/>
      <x:c r="C60" s="2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4"/>
      <x:c r="AS60" s="4"/>
      <x:c r="AT60" s="4"/>
      <x:c r="AU60" s="4"/>
      <x:c r="AV60" s="4"/>
      <x:c r="AW60" s="4"/>
      <x:c r="AX60" s="4"/>
      <x:c r="AY60" s="4"/>
      <x:c r="AZ60" s="4"/>
      <x:c r="BA60" s="4"/>
      <x:c r="BB60" s="4"/>
      <x:c r="BC60" s="4"/>
      <x:c r="BD60" s="4"/>
      <x:c r="BE60" s="4"/>
      <x:c r="BF60" s="4"/>
      <x:c r="BG60" s="4"/>
      <x:c r="BH60" s="4"/>
      <x:c r="BI60" s="4"/>
      <x:c r="BJ60" s="4"/>
      <x:c r="BK60" s="4"/>
      <x:c r="BL60" s="4"/>
      <x:c r="BM60" s="4"/>
      <x:c r="BN60" s="4"/>
      <x:c r="BO60" s="4"/>
      <x:c r="BP60" s="4"/>
      <x:c r="BQ60" s="4"/>
    </x:row>
    <x:row r="61" ht="25" customHeight="1">
      <x:c r="A61" s="2"/>
      <x:c r="B61" s="2"/>
      <x:c r="C61" s="46" t="str">
        <x:v>Strategy launch and first-year target</x:v>
      </x:c>
      <x:c r="D61" s="47"/>
      <x:c r="E61" s="47"/>
      <x:c r="F61" s="47"/>
      <x:c r="G61" s="47"/>
      <x:c r="H61" s="47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  <x:c r="AG61" s="4"/>
      <x:c r="AH61" s="4"/>
      <x:c r="AI61" s="4"/>
      <x:c r="AJ61" s="4"/>
      <x:c r="AK61" s="4"/>
      <x:c r="AL61" s="4"/>
      <x:c r="AM61" s="4"/>
      <x:c r="AN61" s="4"/>
      <x:c r="AO61" s="4"/>
      <x:c r="AP61" s="4"/>
      <x:c r="AQ61" s="4"/>
      <x:c r="AR61" s="4"/>
      <x:c r="AS61" s="4"/>
      <x:c r="AT61" s="4"/>
      <x:c r="AU61" s="4"/>
      <x:c r="AV61" s="4"/>
      <x:c r="AW61" s="4"/>
      <x:c r="AX61" s="4"/>
      <x:c r="AY61" s="4"/>
      <x:c r="AZ61" s="4"/>
      <x:c r="BA61" s="4"/>
      <x:c r="BB61" s="4"/>
      <x:c r="BC61" s="4"/>
      <x:c r="BD61" s="4"/>
      <x:c r="BE61" s="4"/>
      <x:c r="BF61" s="4"/>
      <x:c r="BG61" s="4"/>
      <x:c r="BH61" s="4"/>
      <x:c r="BI61" s="4"/>
      <x:c r="BJ61" s="4"/>
      <x:c r="BK61" s="4"/>
      <x:c r="BL61" s="4"/>
      <x:c r="BM61" s="4"/>
      <x:c r="BN61" s="4"/>
      <x:c r="BO61" s="4"/>
      <x:c r="BP61" s="4"/>
      <x:c r="BQ61" s="4"/>
    </x:row>
    <x:row r="62" ht="23" customHeight="1">
      <x:c r="A62" s="2"/>
      <x:c r="B62" s="2"/>
      <x:c r="C62" s="2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4"/>
      <x:c r="AS62" s="4"/>
      <x:c r="AT62" s="4"/>
      <x:c r="AU62" s="4"/>
      <x:c r="AV62" s="4"/>
      <x:c r="AW62" s="4"/>
      <x:c r="AX62" s="4"/>
      <x:c r="AY62" s="4"/>
      <x:c r="AZ62" s="4"/>
      <x:c r="BA62" s="4"/>
      <x:c r="BB62" s="4"/>
      <x:c r="BC62" s="4"/>
      <x:c r="BD62" s="4"/>
      <x:c r="BE62" s="4"/>
      <x:c r="BF62" s="4"/>
      <x:c r="BG62" s="4"/>
      <x:c r="BH62" s="4"/>
      <x:c r="BI62" s="4"/>
      <x:c r="BJ62" s="4"/>
      <x:c r="BK62" s="4"/>
      <x:c r="BL62" s="4"/>
      <x:c r="BM62" s="4"/>
      <x:c r="BN62" s="4"/>
      <x:c r="BO62" s="4"/>
      <x:c r="BP62" s="4"/>
      <x:c r="BQ62" s="4"/>
    </x:row>
    <x:row r="63" ht="23" customHeight="1">
      <x:c r="A63" s="2"/>
      <x:c r="B63" s="2"/>
      <x:c r="C63" s="2" t="str">
        <x:v>First full-year revenue target</x:v>
      </x:c>
      <x:c r="D63" s="86" t="n">
        <x:f>'Assumptions'!D53</x:f>
        <x:v>3000000</x:v>
      </x:c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4"/>
      <x:c r="AP63" s="4"/>
      <x:c r="AQ63" s="4"/>
      <x:c r="AR63" s="4"/>
      <x:c r="AS63" s="4"/>
      <x:c r="AT63" s="4"/>
      <x:c r="AU63" s="4"/>
      <x:c r="AV63" s="4"/>
      <x:c r="AW63" s="4"/>
      <x:c r="AX63" s="4"/>
      <x:c r="AY63" s="4"/>
      <x:c r="AZ63" s="4"/>
      <x:c r="BA63" s="4"/>
      <x:c r="BB63" s="4"/>
      <x:c r="BC63" s="4"/>
      <x:c r="BD63" s="4"/>
      <x:c r="BE63" s="4"/>
      <x:c r="BF63" s="4"/>
      <x:c r="BG63" s="4"/>
      <x:c r="BH63" s="4"/>
      <x:c r="BI63" s="4"/>
      <x:c r="BJ63" s="4"/>
      <x:c r="BK63" s="4"/>
      <x:c r="BL63" s="4"/>
      <x:c r="BM63" s="4"/>
      <x:c r="BN63" s="4"/>
      <x:c r="BO63" s="4"/>
      <x:c r="BP63" s="4"/>
      <x:c r="BQ63" s="4"/>
    </x:row>
    <x:row r="64" ht="25" customHeight="1">
      <x:c r="A64" s="2"/>
      <x:c r="B64" s="2"/>
      <x:c r="C64" s="84" t="str">
        <x:v>Strategy revenue, first full year</x:v>
      </x:c>
      <x:c r="D64" s="85" t="n">
        <x:f>D28</x:f>
        <x:v>3000000</x:v>
      </x:c>
      <x:c r="E64" s="89"/>
      <x:c r="F64" s="89"/>
      <x:c r="G64" s="89"/>
      <x:c r="H64" s="89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  <x:c r="AF64" s="4"/>
      <x:c r="AG64" s="4"/>
      <x:c r="AH64" s="4"/>
      <x:c r="AI64" s="4"/>
      <x:c r="AJ64" s="4"/>
      <x:c r="AK64" s="4"/>
      <x:c r="AL64" s="4"/>
      <x:c r="AM64" s="4"/>
      <x:c r="AN64" s="4"/>
      <x:c r="AO64" s="4"/>
      <x:c r="AP64" s="4"/>
      <x:c r="AQ64" s="4"/>
      <x:c r="AR64" s="4"/>
      <x:c r="AS64" s="4"/>
      <x:c r="AT64" s="4"/>
      <x:c r="AU64" s="4"/>
      <x:c r="AV64" s="4"/>
      <x:c r="AW64" s="4"/>
      <x:c r="AX64" s="4"/>
      <x:c r="AY64" s="4"/>
      <x:c r="AZ64" s="4"/>
      <x:c r="BA64" s="4"/>
      <x:c r="BB64" s="4"/>
      <x:c r="BC64" s="4"/>
      <x:c r="BD64" s="4"/>
      <x:c r="BE64" s="4"/>
      <x:c r="BF64" s="4"/>
      <x:c r="BG64" s="4"/>
      <x:c r="BH64" s="4"/>
      <x:c r="BI64" s="4"/>
      <x:c r="BJ64" s="4"/>
      <x:c r="BK64" s="4"/>
      <x:c r="BL64" s="4"/>
      <x:c r="BM64" s="4"/>
      <x:c r="BN64" s="4"/>
      <x:c r="BO64" s="4"/>
      <x:c r="BP64" s="4"/>
      <x:c r="BQ64" s="4"/>
    </x:row>
    <x:row r="65" ht="25" customHeight="1">
      <x:c r="A65" s="2"/>
      <x:c r="B65" s="2"/>
      <x:c r="C65" s="84" t="str">
        <x:v>Strategy revenue less target</x:v>
      </x:c>
      <x:c r="D65" s="85" t="n">
        <x:f>IF(ISNUMBER(D64),D64-D63,"n.a.")</x:f>
        <x:v>0</x:v>
      </x:c>
      <x:c r="E65" s="89"/>
      <x:c r="F65" s="89"/>
      <x:c r="G65" s="89"/>
      <x:c r="H65" s="89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  <x:c r="AF65" s="4"/>
      <x:c r="AG65" s="4"/>
      <x:c r="AH65" s="4"/>
      <x:c r="AI65" s="4"/>
      <x:c r="AJ65" s="4"/>
      <x:c r="AK65" s="4"/>
      <x:c r="AL65" s="4"/>
      <x:c r="AM65" s="4"/>
      <x:c r="AN65" s="4"/>
      <x:c r="AO65" s="4"/>
      <x:c r="AP65" s="4"/>
      <x:c r="AQ65" s="4"/>
      <x:c r="AR65" s="4"/>
      <x:c r="AS65" s="4"/>
      <x:c r="AT65" s="4"/>
      <x:c r="AU65" s="4"/>
      <x:c r="AV65" s="4"/>
      <x:c r="AW65" s="4"/>
      <x:c r="AX65" s="4"/>
      <x:c r="AY65" s="4"/>
      <x:c r="AZ65" s="4"/>
      <x:c r="BA65" s="4"/>
      <x:c r="BB65" s="4"/>
      <x:c r="BC65" s="4"/>
      <x:c r="BD65" s="4"/>
      <x:c r="BE65" s="4"/>
      <x:c r="BF65" s="4"/>
      <x:c r="BG65" s="4"/>
      <x:c r="BH65" s="4"/>
      <x:c r="BI65" s="4"/>
      <x:c r="BJ65" s="4"/>
      <x:c r="BK65" s="4"/>
      <x:c r="BL65" s="4"/>
      <x:c r="BM65" s="4"/>
      <x:c r="BN65" s="4"/>
      <x:c r="BO65" s="4"/>
      <x:c r="BP65" s="4"/>
      <x:c r="BQ65" s="4"/>
    </x:row>
    <x:row r="66" ht="23" customHeight="1">
      <x:c r="A66" s="2"/>
      <x:c r="B66" s="2"/>
      <x:c r="C66" s="2" t="str">
        <x:v>Full-year billable customer-months</x:v>
      </x:c>
      <x:c r="D66" s="69" t="n">
        <x:f>IF(COUNT(J26:U26)=12,SUM(J26:U26),"n.a.")</x:f>
        <x:v>6000</x:v>
      </x:c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  <x:c r="AG66" s="4"/>
      <x:c r="AH66" s="4"/>
      <x:c r="AI66" s="4"/>
      <x:c r="AJ66" s="4"/>
      <x:c r="AK66" s="4"/>
      <x:c r="AL66" s="4"/>
      <x:c r="AM66" s="4"/>
      <x:c r="AN66" s="4"/>
      <x:c r="AO66" s="4"/>
      <x:c r="AP66" s="4"/>
      <x:c r="AQ66" s="4"/>
      <x:c r="AR66" s="4"/>
      <x:c r="AS66" s="4"/>
      <x:c r="AT66" s="4"/>
      <x:c r="AU66" s="4"/>
      <x:c r="AV66" s="4"/>
      <x:c r="AW66" s="4"/>
      <x:c r="AX66" s="4"/>
      <x:c r="AY66" s="4"/>
      <x:c r="AZ66" s="4"/>
      <x:c r="BA66" s="4"/>
      <x:c r="BB66" s="4"/>
      <x:c r="BC66" s="4"/>
      <x:c r="BD66" s="4"/>
      <x:c r="BE66" s="4"/>
      <x:c r="BF66" s="4"/>
      <x:c r="BG66" s="4"/>
      <x:c r="BH66" s="4"/>
      <x:c r="BI66" s="4"/>
      <x:c r="BJ66" s="4"/>
      <x:c r="BK66" s="4"/>
      <x:c r="BL66" s="4"/>
      <x:c r="BM66" s="4"/>
      <x:c r="BN66" s="4"/>
      <x:c r="BO66" s="4"/>
      <x:c r="BP66" s="4"/>
      <x:c r="BQ66" s="4"/>
    </x:row>
    <x:row r="67" ht="23" customHeight="1">
      <x:c r="A67" s="2"/>
      <x:c r="B67" s="2"/>
      <x:c r="C67" s="2" t="str">
        <x:v>Average price needed for target</x:v>
      </x:c>
      <x:c r="D67" s="79" t="n">
        <x:f>IF(AND(ISNUMBER(D66),D66&gt;0),D63/D66,"n.a.")</x:f>
        <x:v>500</x:v>
      </x:c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  <x:c r="AG67" s="4"/>
      <x:c r="AH67" s="4"/>
      <x:c r="AI67" s="4"/>
      <x:c r="AJ67" s="4"/>
      <x:c r="AK67" s="4"/>
      <x:c r="AL67" s="4"/>
      <x:c r="AM67" s="4"/>
      <x:c r="AN67" s="4"/>
      <x:c r="AO67" s="4"/>
      <x:c r="AP67" s="4"/>
      <x:c r="AQ67" s="4"/>
      <x:c r="AR67" s="4"/>
      <x:c r="AS67" s="4"/>
      <x:c r="AT67" s="4"/>
      <x:c r="AU67" s="4"/>
      <x:c r="AV67" s="4"/>
      <x:c r="AW67" s="4"/>
      <x:c r="AX67" s="4"/>
      <x:c r="AY67" s="4"/>
      <x:c r="AZ67" s="4"/>
      <x:c r="BA67" s="4"/>
      <x:c r="BB67" s="4"/>
      <x:c r="BC67" s="4"/>
      <x:c r="BD67" s="4"/>
      <x:c r="BE67" s="4"/>
      <x:c r="BF67" s="4"/>
      <x:c r="BG67" s="4"/>
      <x:c r="BH67" s="4"/>
      <x:c r="BI67" s="4"/>
      <x:c r="BJ67" s="4"/>
      <x:c r="BK67" s="4"/>
      <x:c r="BL67" s="4"/>
      <x:c r="BM67" s="4"/>
      <x:c r="BN67" s="4"/>
      <x:c r="BO67" s="4"/>
      <x:c r="BP67" s="4"/>
      <x:c r="BQ67" s="4"/>
    </x:row>
    <x:row r="68" ht="23" customHeight="1">
      <x:c r="A68" s="2"/>
      <x:c r="B68" s="2"/>
      <x:c r="C68" s="2" t="str">
        <x:v>October 2027 strategy MRR</x:v>
      </x:c>
      <x:c r="D68" s="79" t="n">
        <x:f>IF(COUNT(U25,U27)=2,U25*U27,"n.a.")</x:f>
        <x:v>250000</x:v>
      </x:c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4"/>
      <x:c r="AS68" s="4"/>
      <x:c r="AT68" s="4"/>
      <x:c r="AU68" s="4"/>
      <x:c r="AV68" s="4"/>
      <x:c r="AW68" s="4"/>
      <x:c r="AX68" s="4"/>
      <x:c r="AY68" s="4"/>
      <x:c r="AZ68" s="4"/>
      <x:c r="BA68" s="4"/>
      <x:c r="BB68" s="4"/>
      <x:c r="BC68" s="4"/>
      <x:c r="BD68" s="4"/>
      <x:c r="BE68" s="4"/>
      <x:c r="BF68" s="4"/>
      <x:c r="BG68" s="4"/>
      <x:c r="BH68" s="4"/>
      <x:c r="BI68" s="4"/>
      <x:c r="BJ68" s="4"/>
      <x:c r="BK68" s="4"/>
      <x:c r="BL68" s="4"/>
      <x:c r="BM68" s="4"/>
      <x:c r="BN68" s="4"/>
      <x:c r="BO68" s="4"/>
      <x:c r="BP68" s="4"/>
      <x:c r="BQ68" s="4"/>
    </x:row>
    <x:row r="69" ht="23" customHeight="1">
      <x:c r="A69" s="2"/>
      <x:c r="B69" s="2"/>
      <x:c r="C69" s="2" t="str">
        <x:v>October 2027 strategy annual run rate</x:v>
      </x:c>
      <x:c r="D69" s="79" t="n">
        <x:f>U29</x:f>
        <x:v>3000000</x:v>
      </x:c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4"/>
      <x:c r="AP69" s="4"/>
      <x:c r="AQ69" s="4"/>
      <x:c r="AR69" s="4"/>
      <x:c r="AS69" s="4"/>
      <x:c r="AT69" s="4"/>
      <x:c r="AU69" s="4"/>
      <x:c r="AV69" s="4"/>
      <x:c r="AW69" s="4"/>
      <x:c r="AX69" s="4"/>
      <x:c r="AY69" s="4"/>
      <x:c r="AZ69" s="4"/>
      <x:c r="BA69" s="4"/>
      <x:c r="BB69" s="4"/>
      <x:c r="BC69" s="4"/>
      <x:c r="BD69" s="4"/>
      <x:c r="BE69" s="4"/>
      <x:c r="BF69" s="4"/>
      <x:c r="BG69" s="4"/>
      <x:c r="BH69" s="4"/>
      <x:c r="BI69" s="4"/>
      <x:c r="BJ69" s="4"/>
      <x:c r="BK69" s="4"/>
      <x:c r="BL69" s="4"/>
      <x:c r="BM69" s="4"/>
      <x:c r="BN69" s="4"/>
      <x:c r="BO69" s="4"/>
      <x:c r="BP69" s="4"/>
      <x:c r="BQ69" s="4"/>
    </x:row>
    <x:row r="70" ht="23" customHeight="1">
      <x:c r="A70" s="2"/>
      <x:c r="B70" s="2"/>
      <x:c r="C70" s="2" t="str">
        <x:v>October 2026 launch revenue</x:v>
      </x:c>
      <x:c r="D70" s="79" t="n">
        <x:f>I28</x:f>
        <x:v>125000</x:v>
      </x:c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4"/>
      <x:c r="AS70" s="4"/>
      <x:c r="AT70" s="4"/>
      <x:c r="AU70" s="4"/>
      <x:c r="AV70" s="4"/>
      <x:c r="AW70" s="4"/>
      <x:c r="AX70" s="4"/>
      <x:c r="AY70" s="4"/>
      <x:c r="AZ70" s="4"/>
      <x:c r="BA70" s="4"/>
      <x:c r="BB70" s="4"/>
      <x:c r="BC70" s="4"/>
      <x:c r="BD70" s="4"/>
      <x:c r="BE70" s="4"/>
      <x:c r="BF70" s="4"/>
      <x:c r="BG70" s="4"/>
      <x:c r="BH70" s="4"/>
      <x:c r="BI70" s="4"/>
      <x:c r="BJ70" s="4"/>
      <x:c r="BK70" s="4"/>
      <x:c r="BL70" s="4"/>
      <x:c r="BM70" s="4"/>
      <x:c r="BN70" s="4"/>
      <x:c r="BO70" s="4"/>
      <x:c r="BP70" s="4"/>
      <x:c r="BQ70" s="4"/>
    </x:row>
    <x:row r="71" ht="25" customHeight="1">
      <x:c r="A71" s="2"/>
      <x:c r="B71" s="2"/>
      <x:c r="C71" s="84" t="str">
        <x:v>Launch plus first full-year revenue</x:v>
      </x:c>
      <x:c r="D71" s="85" t="n">
        <x:f>IF(COUNT(I28,D28)=2,SUM(I28,D28),"n.a.")</x:f>
        <x:v>3125000</x:v>
      </x:c>
      <x:c r="E71" s="89"/>
      <x:c r="F71" s="89"/>
      <x:c r="G71" s="89"/>
      <x:c r="H71" s="89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  <x:c r="AG71" s="4"/>
      <x:c r="AH71" s="4"/>
      <x:c r="AI71" s="4"/>
      <x:c r="AJ71" s="4"/>
      <x:c r="AK71" s="4"/>
      <x:c r="AL71" s="4"/>
      <x:c r="AM71" s="4"/>
      <x:c r="AN71" s="4"/>
      <x:c r="AO71" s="4"/>
      <x:c r="AP71" s="4"/>
      <x:c r="AQ71" s="4"/>
      <x:c r="AR71" s="4"/>
      <x:c r="AS71" s="4"/>
      <x:c r="AT71" s="4"/>
      <x:c r="AU71" s="4"/>
      <x:c r="AV71" s="4"/>
      <x:c r="AW71" s="4"/>
      <x:c r="AX71" s="4"/>
      <x:c r="AY71" s="4"/>
      <x:c r="AZ71" s="4"/>
      <x:c r="BA71" s="4"/>
      <x:c r="BB71" s="4"/>
      <x:c r="BC71" s="4"/>
      <x:c r="BD71" s="4"/>
      <x:c r="BE71" s="4"/>
      <x:c r="BF71" s="4"/>
      <x:c r="BG71" s="4"/>
      <x:c r="BH71" s="4"/>
      <x:c r="BI71" s="4"/>
      <x:c r="BJ71" s="4"/>
      <x:c r="BK71" s="4"/>
      <x:c r="BL71" s="4"/>
      <x:c r="BM71" s="4"/>
      <x:c r="BN71" s="4"/>
      <x:c r="BO71" s="4"/>
      <x:c r="BP71" s="4"/>
      <x:c r="BQ71" s="4"/>
    </x:row>
    <x:row r="72" ht="25" customHeight="1">
      <x:c r="A72" s="2"/>
      <x:c r="B72" s="2"/>
      <x:c r="C72" s="84" t="str">
        <x:v>All streams, first full-year revenue</x:v>
      </x:c>
      <x:c r="D72" s="85" t="n">
        <x:f>D47</x:f>
        <x:v>3135000</x:v>
      </x:c>
      <x:c r="E72" s="89"/>
      <x:c r="F72" s="89"/>
      <x:c r="G72" s="89"/>
      <x:c r="H72" s="89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4"/>
      <x:c r="AS72" s="4"/>
      <x:c r="AT72" s="4"/>
      <x:c r="AU72" s="4"/>
      <x:c r="AV72" s="4"/>
      <x:c r="AW72" s="4"/>
      <x:c r="AX72" s="4"/>
      <x:c r="AY72" s="4"/>
      <x:c r="AZ72" s="4"/>
      <x:c r="BA72" s="4"/>
      <x:c r="BB72" s="4"/>
      <x:c r="BC72" s="4"/>
      <x:c r="BD72" s="4"/>
      <x:c r="BE72" s="4"/>
      <x:c r="BF72" s="4"/>
      <x:c r="BG72" s="4"/>
      <x:c r="BH72" s="4"/>
      <x:c r="BI72" s="4"/>
      <x:c r="BJ72" s="4"/>
      <x:c r="BK72" s="4"/>
      <x:c r="BL72" s="4"/>
      <x:c r="BM72" s="4"/>
      <x:c r="BN72" s="4"/>
      <x:c r="BO72" s="4"/>
      <x:c r="BP72" s="4"/>
      <x:c r="BQ72" s="4"/>
    </x:row>
    <x:row r="73" ht="25" customHeight="1">
      <x:c r="A73" s="2"/>
      <x:c r="B73" s="2"/>
      <x:c r="C73" s="84" t="str">
        <x:v>All streams revenue less target</x:v>
      </x:c>
      <x:c r="D73" s="85" t="n">
        <x:f>IF(ISNUMBER(D72),D72-D63,"n.a.")</x:f>
        <x:v>135000</x:v>
      </x:c>
      <x:c r="E73" s="89"/>
      <x:c r="F73" s="89"/>
      <x:c r="G73" s="89"/>
      <x:c r="H73" s="89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  <x:c r="AH73" s="4"/>
      <x:c r="AI73" s="4"/>
      <x:c r="AJ73" s="4"/>
      <x:c r="AK73" s="4"/>
      <x:c r="AL73" s="4"/>
      <x:c r="AM73" s="4"/>
      <x:c r="AN73" s="4"/>
      <x:c r="AO73" s="4"/>
      <x:c r="AP73" s="4"/>
      <x:c r="AQ73" s="4"/>
      <x:c r="AR73" s="4"/>
      <x:c r="AS73" s="4"/>
      <x:c r="AT73" s="4"/>
      <x:c r="AU73" s="4"/>
      <x:c r="AV73" s="4"/>
      <x:c r="AW73" s="4"/>
      <x:c r="AX73" s="4"/>
      <x:c r="AY73" s="4"/>
      <x:c r="AZ73" s="4"/>
      <x:c r="BA73" s="4"/>
      <x:c r="BB73" s="4"/>
      <x:c r="BC73" s="4"/>
      <x:c r="BD73" s="4"/>
      <x:c r="BE73" s="4"/>
      <x:c r="BF73" s="4"/>
      <x:c r="BG73" s="4"/>
      <x:c r="BH73" s="4"/>
      <x:c r="BI73" s="4"/>
      <x:c r="BJ73" s="4"/>
      <x:c r="BK73" s="4"/>
      <x:c r="BL73" s="4"/>
      <x:c r="BM73" s="4"/>
      <x:c r="BN73" s="4"/>
      <x:c r="BO73" s="4"/>
      <x:c r="BP73" s="4"/>
      <x:c r="BQ73" s="4"/>
    </x:row>
    <x:row r="74" ht="23" customHeight="1">
      <x:c r="A74" s="2"/>
      <x:c r="B74" s="2"/>
      <x:c r="C74" s="2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  <x:c r="AG74" s="4"/>
      <x:c r="AH74" s="4"/>
      <x:c r="AI74" s="4"/>
      <x:c r="AJ74" s="4"/>
      <x:c r="AK74" s="4"/>
      <x:c r="AL74" s="4"/>
      <x:c r="AM74" s="4"/>
      <x:c r="AN74" s="4"/>
      <x:c r="AO74" s="4"/>
      <x:c r="AP74" s="4"/>
      <x:c r="AQ74" s="4"/>
      <x:c r="AR74" s="4"/>
      <x:c r="AS74" s="4"/>
      <x:c r="AT74" s="4"/>
      <x:c r="AU74" s="4"/>
      <x:c r="AV74" s="4"/>
      <x:c r="AW74" s="4"/>
      <x:c r="AX74" s="4"/>
      <x:c r="AY74" s="4"/>
      <x:c r="AZ74" s="4"/>
      <x:c r="BA74" s="4"/>
      <x:c r="BB74" s="4"/>
      <x:c r="BC74" s="4"/>
      <x:c r="BD74" s="4"/>
      <x:c r="BE74" s="4"/>
      <x:c r="BF74" s="4"/>
      <x:c r="BG74" s="4"/>
      <x:c r="BH74" s="4"/>
      <x:c r="BI74" s="4"/>
      <x:c r="BJ74" s="4"/>
      <x:c r="BK74" s="4"/>
      <x:c r="BL74" s="4"/>
      <x:c r="BM74" s="4"/>
      <x:c r="BN74" s="4"/>
      <x:c r="BO74" s="4"/>
      <x:c r="BP74" s="4"/>
      <x:c r="BQ74" s="4"/>
    </x:row>
    <x:row r="75" ht="22" customHeight="1">
      <x:c r="A75" s="2"/>
      <x:c r="B75" s="2"/>
      <x:c r="C75" s="10" t="str">
        <x:v>The $3M benchmark is compared with both strategy-only and total revenue. App revenue remains a separate deck assumption.</x:v>
      </x:c>
      <x:c r="D75" s="50"/>
      <x:c r="E75" s="50"/>
      <x:c r="F75" s="50"/>
      <x:c r="G75" s="50"/>
      <x:c r="H75" s="50"/>
      <x:c r="I75" s="50"/>
      <x:c r="J75" s="50"/>
      <x:c r="K75" s="50"/>
      <x:c r="L75" s="50"/>
      <x:c r="M75" s="50"/>
      <x:c r="N75" s="50"/>
      <x:c r="O75" s="50"/>
      <x:c r="P75" s="50"/>
      <x:c r="Q75" s="50"/>
      <x:c r="R75" s="50"/>
      <x:c r="S75" s="50"/>
      <x:c r="T75" s="50"/>
      <x:c r="U75" s="50"/>
      <x:c r="V75" s="50"/>
      <x:c r="W75" s="50"/>
      <x:c r="X75" s="50"/>
      <x:c r="Y75" s="50"/>
      <x:c r="Z75" s="50"/>
      <x:c r="AA75" s="50"/>
      <x:c r="AB75" s="50"/>
      <x:c r="AC75" s="50"/>
      <x:c r="AD75" s="50"/>
      <x:c r="AE75" s="50"/>
      <x:c r="AF75" s="50"/>
      <x:c r="AG75" s="50"/>
      <x:c r="AH75" s="50"/>
      <x:c r="AI75" s="50"/>
      <x:c r="AJ75" s="50"/>
      <x:c r="AK75" s="50"/>
      <x:c r="AL75" s="50"/>
      <x:c r="AM75" s="50"/>
      <x:c r="AN75" s="50"/>
      <x:c r="AO75" s="50"/>
      <x:c r="AP75" s="50"/>
      <x:c r="AQ75" s="50"/>
      <x:c r="AR75" s="50"/>
      <x:c r="AS75" s="50"/>
      <x:c r="AT75" s="50"/>
      <x:c r="AU75" s="50"/>
      <x:c r="AV75" s="50"/>
      <x:c r="AW75" s="50"/>
      <x:c r="AX75" s="50"/>
      <x:c r="AY75" s="50"/>
      <x:c r="AZ75" s="50"/>
      <x:c r="BA75" s="50"/>
      <x:c r="BB75" s="50"/>
      <x:c r="BC75" s="50"/>
      <x:c r="BD75" s="50"/>
      <x:c r="BE75" s="50"/>
      <x:c r="BF75" s="50"/>
      <x:c r="BG75" s="50"/>
      <x:c r="BH75" s="50"/>
      <x:c r="BI75" s="50"/>
      <x:c r="BJ75" s="50"/>
      <x:c r="BK75" s="50"/>
      <x:c r="BL75" s="50"/>
      <x:c r="BM75" s="50"/>
      <x:c r="BN75" s="50"/>
      <x:c r="BO75" s="50"/>
      <x:c r="BP75" s="50"/>
      <x:c r="BQ75" s="50"/>
    </x:row>
    <x:row r="76" ht="22" customHeight="1">
      <x:c r="A76" s="2"/>
      <x:c r="B76" s="2"/>
      <x:c r="C76" s="10" t="str">
        <x:v>Launch plus first full year spans 13 calendar months. Keep it separate from the 12-month Year 1 revenue.</x:v>
      </x:c>
      <x:c r="D76" s="50"/>
      <x:c r="E76" s="50"/>
      <x:c r="F76" s="50"/>
      <x:c r="G76" s="50"/>
      <x:c r="H76" s="50"/>
      <x:c r="I76" s="50"/>
      <x:c r="J76" s="50"/>
      <x:c r="K76" s="50"/>
      <x:c r="L76" s="50"/>
      <x:c r="M76" s="50"/>
      <x:c r="N76" s="50"/>
      <x:c r="O76" s="50"/>
      <x:c r="P76" s="50"/>
      <x:c r="Q76" s="50"/>
      <x:c r="R76" s="50"/>
      <x:c r="S76" s="50"/>
      <x:c r="T76" s="50"/>
      <x:c r="U76" s="50"/>
      <x:c r="V76" s="50"/>
      <x:c r="W76" s="50"/>
      <x:c r="X76" s="50"/>
      <x:c r="Y76" s="50"/>
      <x:c r="Z76" s="50"/>
      <x:c r="AA76" s="50"/>
      <x:c r="AB76" s="50"/>
      <x:c r="AC76" s="50"/>
      <x:c r="AD76" s="50"/>
      <x:c r="AE76" s="50"/>
      <x:c r="AF76" s="50"/>
      <x:c r="AG76" s="50"/>
      <x:c r="AH76" s="50"/>
      <x:c r="AI76" s="50"/>
      <x:c r="AJ76" s="50"/>
      <x:c r="AK76" s="50"/>
      <x:c r="AL76" s="50"/>
      <x:c r="AM76" s="50"/>
      <x:c r="AN76" s="50"/>
      <x:c r="AO76" s="50"/>
      <x:c r="AP76" s="50"/>
      <x:c r="AQ76" s="50"/>
      <x:c r="AR76" s="50"/>
      <x:c r="AS76" s="50"/>
      <x:c r="AT76" s="50"/>
      <x:c r="AU76" s="50"/>
      <x:c r="AV76" s="50"/>
      <x:c r="AW76" s="50"/>
      <x:c r="AX76" s="50"/>
      <x:c r="AY76" s="50"/>
      <x:c r="AZ76" s="50"/>
      <x:c r="BA76" s="50"/>
      <x:c r="BB76" s="50"/>
      <x:c r="BC76" s="50"/>
      <x:c r="BD76" s="50"/>
      <x:c r="BE76" s="50"/>
      <x:c r="BF76" s="50"/>
      <x:c r="BG76" s="50"/>
      <x:c r="BH76" s="50"/>
      <x:c r="BI76" s="50"/>
      <x:c r="BJ76" s="50"/>
      <x:c r="BK76" s="50"/>
      <x:c r="BL76" s="50"/>
      <x:c r="BM76" s="50"/>
      <x:c r="BN76" s="50"/>
      <x:c r="BO76" s="50"/>
      <x:c r="BP76" s="50"/>
      <x:c r="BQ76" s="50"/>
    </x:row>
    <x:row r="77" ht="23" customHeight="1">
      <x:c r="A77" s="2"/>
      <x:c r="B77" s="2"/>
      <x:c r="C77" s="2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  <x:c r="AG77" s="4"/>
      <x:c r="AH77" s="4"/>
      <x:c r="AI77" s="4"/>
      <x:c r="AJ77" s="4"/>
      <x:c r="AK77" s="4"/>
      <x:c r="AL77" s="4"/>
      <x:c r="AM77" s="4"/>
      <x:c r="AN77" s="4"/>
      <x:c r="AO77" s="4"/>
      <x:c r="AP77" s="4"/>
      <x:c r="AQ77" s="4"/>
      <x:c r="AR77" s="4"/>
      <x:c r="AS77" s="4"/>
      <x:c r="AT77" s="4"/>
      <x:c r="AU77" s="4"/>
      <x:c r="AV77" s="4"/>
      <x:c r="AW77" s="4"/>
      <x:c r="AX77" s="4"/>
      <x:c r="AY77" s="4"/>
      <x:c r="AZ77" s="4"/>
      <x:c r="BA77" s="4"/>
      <x:c r="BB77" s="4"/>
      <x:c r="BC77" s="4"/>
      <x:c r="BD77" s="4"/>
      <x:c r="BE77" s="4"/>
      <x:c r="BF77" s="4"/>
      <x:c r="BG77" s="4"/>
      <x:c r="BH77" s="4"/>
      <x:c r="BI77" s="4"/>
      <x:c r="BJ77" s="4"/>
      <x:c r="BK77" s="4"/>
      <x:c r="BL77" s="4"/>
      <x:c r="BM77" s="4"/>
      <x:c r="BN77" s="4"/>
      <x:c r="BO77" s="4"/>
      <x:c r="BP77" s="4"/>
      <x:c r="BQ77" s="4"/>
    </x:row>
    <x:row r="78" ht="23" customHeight="1">
      <x:c r="A78" s="2"/>
      <x:c r="B78" s="2"/>
      <x:c r="C78" s="2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  <x:c r="AF78" s="4"/>
      <x:c r="AG78" s="4"/>
      <x:c r="AH78" s="4"/>
      <x:c r="AI78" s="4"/>
      <x:c r="AJ78" s="4"/>
      <x:c r="AK78" s="4"/>
      <x:c r="AL78" s="4"/>
      <x:c r="AM78" s="4"/>
      <x:c r="AN78" s="4"/>
      <x:c r="AO78" s="4"/>
      <x:c r="AP78" s="4"/>
      <x:c r="AQ78" s="4"/>
      <x:c r="AR78" s="4"/>
      <x:c r="AS78" s="4"/>
      <x:c r="AT78" s="4"/>
      <x:c r="AU78" s="4"/>
      <x:c r="AV78" s="4"/>
      <x:c r="AW78" s="4"/>
      <x:c r="AX78" s="4"/>
      <x:c r="AY78" s="4"/>
      <x:c r="AZ78" s="4"/>
      <x:c r="BA78" s="4"/>
      <x:c r="BB78" s="4"/>
      <x:c r="BC78" s="4"/>
      <x:c r="BD78" s="4"/>
      <x:c r="BE78" s="4"/>
      <x:c r="BF78" s="4"/>
      <x:c r="BG78" s="4"/>
      <x:c r="BH78" s="4"/>
      <x:c r="BI78" s="4"/>
      <x:c r="BJ78" s="4"/>
      <x:c r="BK78" s="4"/>
      <x:c r="BL78" s="4"/>
      <x:c r="BM78" s="4"/>
      <x:c r="BN78" s="4"/>
      <x:c r="BO78" s="4"/>
      <x:c r="BP78" s="4"/>
      <x:c r="BQ78" s="4"/>
    </x:row>
    <x:row r="79" ht="23" customHeight="1">
      <x:c r="A79" s="2"/>
      <x:c r="B79" s="2"/>
      <x:c r="C79" s="2"/>
      <x:c r="D79" s="4"/>
      <x:c r="E79" s="4"/>
      <x:c r="F79" s="4"/>
      <x:c r="G79" s="4"/>
      <x:c r="H79" s="4"/>
    </x:row>
    <x:row r="80" ht="23" customHeight="1">
      <x:c r="A80" s="2"/>
      <x:c r="B80" s="2"/>
      <x:c r="C80" s="2"/>
      <x:c r="D80" s="4"/>
      <x:c r="E80" s="4"/>
      <x:c r="F80" s="4"/>
      <x:c r="G80" s="4"/>
      <x:c r="H80" s="4"/>
    </x:row>
    <x:row r="81" ht="23" customHeight="1">
      <x:c r="A81" s="2"/>
      <x:c r="B81" s="2"/>
      <x:c r="C81" s="2"/>
      <x:c r="D81" s="4"/>
      <x:c r="E81" s="4"/>
      <x:c r="F81" s="4"/>
      <x:c r="G81" s="4"/>
      <x:c r="H81" s="4"/>
    </x:row>
    <x:row r="82" ht="23" customHeight="1">
      <x:c r="A82" s="2"/>
      <x:c r="B82" s="2"/>
      <x:c r="C82" s="2"/>
      <x:c r="D82" s="4"/>
      <x:c r="E82" s="4"/>
      <x:c r="F82" s="4"/>
      <x:c r="G82" s="4"/>
      <x:c r="H82" s="4"/>
    </x:row>
    <x:row r="83" ht="23" customHeight="1">
      <x:c r="A83" s="2"/>
      <x:c r="B83" s="2"/>
      <x:c r="C83" s="2"/>
      <x:c r="D83" s="4"/>
      <x:c r="E83" s="4"/>
      <x:c r="F83" s="4"/>
      <x:c r="G83" s="4"/>
      <x:c r="H83" s="4"/>
    </x:row>
    <x:row r="84" ht="23" customHeight="1">
      <x:c r="A84" s="2"/>
      <x:c r="B84" s="2"/>
      <x:c r="C84" s="2"/>
      <x:c r="D84" s="4"/>
      <x:c r="E84" s="4"/>
      <x:c r="F84" s="4"/>
      <x:c r="G84" s="4"/>
      <x:c r="H84" s="4"/>
    </x:row>
    <x:row r="85" ht="23" customHeight="1">
      <x:c r="A85" s="2"/>
      <x:c r="B85" s="2"/>
      <x:c r="C85" s="2"/>
      <x:c r="D85" s="4"/>
      <x:c r="E85" s="4"/>
      <x:c r="F85" s="4"/>
      <x:c r="G85" s="4"/>
      <x:c r="H85" s="4"/>
    </x:row>
    <x:row r="86" ht="23" customHeight="1">
      <x:c r="A86" s="2"/>
      <x:c r="B86" s="2"/>
      <x:c r="C86" s="2"/>
      <x:c r="D86" s="4"/>
      <x:c r="E86" s="4"/>
      <x:c r="F86" s="4"/>
      <x:c r="G86" s="4"/>
      <x:c r="H86" s="4"/>
    </x:row>
    <x:row r="87" ht="23" customHeight="1">
      <x:c r="A87" s="2"/>
      <x:c r="B87" s="2"/>
      <x:c r="C87" s="2"/>
      <x:c r="D87" s="4"/>
      <x:c r="E87" s="4"/>
      <x:c r="F87" s="4"/>
      <x:c r="G87" s="4"/>
      <x:c r="H87" s="4"/>
    </x:row>
    <x:row r="88" ht="23" customHeight="1">
      <x:c r="A88" s="2"/>
      <x:c r="B88" s="2"/>
      <x:c r="C88" s="2"/>
      <x:c r="D88" s="4"/>
      <x:c r="E88" s="4"/>
      <x:c r="F88" s="4"/>
      <x:c r="G88" s="4"/>
      <x:c r="H88" s="4"/>
    </x:row>
    <x:row r="89" ht="23" customHeight="1">
      <x:c r="A89" s="2"/>
      <x:c r="B89" s="2"/>
      <x:c r="C89" s="2"/>
      <x:c r="D89" s="4"/>
      <x:c r="E89" s="4"/>
      <x:c r="F89" s="4"/>
      <x:c r="G89" s="4"/>
      <x:c r="H89" s="4"/>
    </x:row>
    <x:row r="90" ht="23" customHeight="1">
      <x:c r="A90" s="2"/>
      <x:c r="B90" s="2"/>
      <x:c r="C90" s="2"/>
      <x:c r="D90" s="4"/>
      <x:c r="E90" s="4"/>
      <x:c r="F90" s="4"/>
      <x:c r="G90" s="4"/>
      <x:c r="H90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</x:row>
    <x:row r="2" ht="31" customHeight="1">
      <x:c r="A2" s="2"/>
      <x:c r="B2" s="2"/>
      <x:c r="C2" s="6" t="str">
        <x:v>Forecast profit and loss</x:v>
      </x:c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  <x:c r="AP2" s="6"/>
      <x:c r="AQ2" s="6"/>
      <x:c r="AR2" s="6"/>
      <x:c r="AS2" s="6"/>
      <x:c r="AT2" s="6"/>
      <x:c r="AU2" s="6"/>
      <x:c r="AV2" s="6"/>
      <x:c r="AW2" s="6"/>
      <x:c r="AX2" s="6"/>
      <x:c r="AY2" s="6"/>
      <x:c r="AZ2" s="6"/>
      <x:c r="BA2" s="6"/>
      <x:c r="BB2" s="6"/>
      <x:c r="BC2" s="6"/>
      <x:c r="BD2" s="6"/>
      <x:c r="BE2" s="6"/>
      <x:c r="BF2" s="6"/>
      <x:c r="BG2" s="6"/>
      <x:c r="BH2" s="6"/>
      <x:c r="BI2" s="6"/>
      <x:c r="BJ2" s="6"/>
      <x:c r="BK2" s="6"/>
      <x:c r="BL2" s="6"/>
      <x:c r="BM2" s="6"/>
      <x:c r="BN2" s="6"/>
      <x:c r="BO2" s="6"/>
      <x:c r="BP2" s="6"/>
      <x:c r="BQ2" s="6"/>
    </x:row>
    <x:row r="3" ht="22" customHeight="1">
      <x:c r="A3" s="2"/>
      <x:c r="B3" s="2"/>
      <x:c r="C3" s="10" t="str">
        <x:v>Revenue is modeled monthly service revenue. Costs and EBITDA remain n.a. until the amber assumptions are completed.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  <x:c r="AJ3" s="10"/>
      <x:c r="AK3" s="10"/>
      <x:c r="AL3" s="10"/>
      <x:c r="AM3" s="10"/>
      <x:c r="AN3" s="10"/>
      <x:c r="AO3" s="10"/>
      <x:c r="AP3" s="10"/>
      <x:c r="AQ3" s="10"/>
      <x:c r="AR3" s="10"/>
      <x:c r="AS3" s="10"/>
      <x:c r="AT3" s="10"/>
      <x:c r="AU3" s="10"/>
      <x:c r="AV3" s="10"/>
      <x:c r="AW3" s="10"/>
      <x:c r="AX3" s="10"/>
      <x:c r="AY3" s="10"/>
      <x:c r="AZ3" s="10"/>
      <x:c r="BA3" s="10"/>
      <x:c r="BB3" s="10"/>
      <x:c r="BC3" s="10"/>
      <x:c r="BD3" s="10"/>
      <x:c r="BE3" s="10"/>
      <x:c r="BF3" s="10"/>
      <x:c r="BG3" s="10"/>
      <x:c r="BH3" s="10"/>
      <x:c r="BI3" s="10"/>
      <x:c r="BJ3" s="10"/>
      <x:c r="BK3" s="10"/>
      <x:c r="BL3" s="10"/>
      <x:c r="BM3" s="10"/>
      <x:c r="BN3" s="10"/>
      <x:c r="BO3" s="10"/>
      <x:c r="BP3" s="10"/>
      <x:c r="BQ3" s="10"/>
    </x:row>
    <x:row r="4" ht="23" customHeight="1">
      <x:c r="A4" s="2"/>
      <x:c r="B4" s="2"/>
      <x:c r="C4" s="2"/>
      <x:c r="D4" s="68" t="str">
        <x:v>Nov 2026-Oct 2027</x:v>
      </x:c>
      <x:c r="E4" s="68" t="str">
        <x:v>Nov 2027-Oct 2028</x:v>
      </x:c>
      <x:c r="F4" s="68" t="str">
        <x:v>Nov 2028-Oct 2029</x:v>
      </x:c>
      <x:c r="G4" s="68" t="str">
        <x:v>Nov 2029-Oct 2030</x:v>
      </x:c>
      <x:c r="H4" s="68" t="str">
        <x:v>Nov 2030-Oct 2031</x:v>
      </x:c>
      <x:c r="I4" s="68" t="str">
        <x:v>Launch only</x:v>
      </x:c>
      <x:c r="J4" s="68"/>
      <x:c r="K4" s="68"/>
      <x:c r="L4" s="68"/>
      <x:c r="M4" s="68"/>
      <x:c r="N4" s="68"/>
      <x:c r="O4" s="68"/>
      <x:c r="P4" s="68"/>
      <x:c r="Q4" s="68"/>
      <x:c r="R4" s="68"/>
      <x:c r="S4" s="68"/>
      <x:c r="T4" s="68"/>
      <x:c r="U4" s="68"/>
      <x:c r="V4" s="68"/>
      <x:c r="W4" s="68"/>
      <x:c r="X4" s="68"/>
      <x:c r="Y4" s="68"/>
      <x:c r="Z4" s="68"/>
      <x:c r="AA4" s="68"/>
      <x:c r="AB4" s="68"/>
      <x:c r="AC4" s="68"/>
      <x:c r="AD4" s="68"/>
      <x:c r="AE4" s="68"/>
      <x:c r="AF4" s="68"/>
      <x:c r="AG4" s="68"/>
      <x:c r="AH4" s="68"/>
      <x:c r="AI4" s="68"/>
      <x:c r="AJ4" s="68"/>
      <x:c r="AK4" s="68"/>
      <x:c r="AL4" s="68"/>
      <x:c r="AM4" s="68"/>
      <x:c r="AN4" s="68"/>
      <x:c r="AO4" s="68"/>
      <x:c r="AP4" s="68"/>
      <x:c r="AQ4" s="68"/>
      <x:c r="AR4" s="68"/>
      <x:c r="AS4" s="68"/>
      <x:c r="AT4" s="68"/>
      <x:c r="AU4" s="68"/>
      <x:c r="AV4" s="68"/>
      <x:c r="AW4" s="68"/>
      <x:c r="AX4" s="68"/>
      <x:c r="AY4" s="68"/>
      <x:c r="AZ4" s="68"/>
      <x:c r="BA4" s="68"/>
      <x:c r="BB4" s="68"/>
      <x:c r="BC4" s="68"/>
      <x:c r="BD4" s="68"/>
      <x:c r="BE4" s="68"/>
      <x:c r="BF4" s="68"/>
      <x:c r="BG4" s="68"/>
      <x:c r="BH4" s="68"/>
      <x:c r="BI4" s="68"/>
      <x:c r="BJ4" s="68"/>
      <x:c r="BK4" s="68"/>
      <x:c r="BL4" s="68"/>
      <x:c r="BM4" s="68"/>
      <x:c r="BN4" s="68"/>
      <x:c r="BO4" s="68"/>
      <x:c r="BP4" s="68"/>
      <x:c r="BQ4" s="68"/>
    </x:row>
    <x:row r="5" ht="30" customHeight="1">
      <x:c r="A5" s="2"/>
      <x:c r="B5" s="2"/>
      <x:c r="C5" s="15" t="str">
        <x:v>Metric</x:v>
      </x:c>
      <x:c r="D5" s="15" t="str">
        <x:v>Year 1</x:v>
      </x:c>
      <x:c r="E5" s="15" t="str">
        <x:v>Year 2</x:v>
      </x:c>
      <x:c r="F5" s="15" t="str">
        <x:v>Year 3</x:v>
      </x:c>
      <x:c r="G5" s="15" t="str">
        <x:v>Year 4</x:v>
      </x:c>
      <x:c r="H5" s="15" t="str">
        <x:v>Year 5</x:v>
      </x:c>
      <x:c r="I5" s="67" t="n">
        <x:f>'Assumptions'!$D$50</x:f>
        <x:v>46296</x:v>
      </x:c>
      <x:c r="J5" s="67" t="n">
        <x:f>EDATE(I5,1)</x:f>
        <x:v>46327</x:v>
      </x:c>
      <x:c r="K5" s="67" t="n">
        <x:f>EDATE(J5,1)</x:f>
        <x:v>46357</x:v>
      </x:c>
      <x:c r="L5" s="67" t="n">
        <x:f>EDATE(K5,1)</x:f>
        <x:v>46388</x:v>
      </x:c>
      <x:c r="M5" s="67" t="n">
        <x:f>EDATE(L5,1)</x:f>
        <x:v>46419</x:v>
      </x:c>
      <x:c r="N5" s="67" t="n">
        <x:f>EDATE(M5,1)</x:f>
        <x:v>46447</x:v>
      </x:c>
      <x:c r="O5" s="67" t="n">
        <x:f>EDATE(N5,1)</x:f>
        <x:v>46478</x:v>
      </x:c>
      <x:c r="P5" s="67" t="n">
        <x:f>EDATE(O5,1)</x:f>
        <x:v>46508</x:v>
      </x:c>
      <x:c r="Q5" s="67" t="n">
        <x:f>EDATE(P5,1)</x:f>
        <x:v>46539</x:v>
      </x:c>
      <x:c r="R5" s="67" t="n">
        <x:f>EDATE(Q5,1)</x:f>
        <x:v>46569</x:v>
      </x:c>
      <x:c r="S5" s="67" t="n">
        <x:f>EDATE(R5,1)</x:f>
        <x:v>46600</x:v>
      </x:c>
      <x:c r="T5" s="67" t="n">
        <x:f>EDATE(S5,1)</x:f>
        <x:v>46631</x:v>
      </x:c>
      <x:c r="U5" s="67" t="n">
        <x:f>EDATE(T5,1)</x:f>
        <x:v>46661</x:v>
      </x:c>
      <x:c r="V5" s="67" t="n">
        <x:f>EDATE(U5,1)</x:f>
        <x:v>46692</x:v>
      </x:c>
      <x:c r="W5" s="67" t="n">
        <x:f>EDATE(V5,1)</x:f>
        <x:v>46722</x:v>
      </x:c>
      <x:c r="X5" s="67" t="n">
        <x:f>EDATE(W5,1)</x:f>
        <x:v>46753</x:v>
      </x:c>
      <x:c r="Y5" s="67" t="n">
        <x:f>EDATE(X5,1)</x:f>
        <x:v>46784</x:v>
      </x:c>
      <x:c r="Z5" s="67" t="n">
        <x:f>EDATE(Y5,1)</x:f>
        <x:v>46813</x:v>
      </x:c>
      <x:c r="AA5" s="67" t="n">
        <x:f>EDATE(Z5,1)</x:f>
        <x:v>46844</x:v>
      </x:c>
      <x:c r="AB5" s="67" t="n">
        <x:f>EDATE(AA5,1)</x:f>
        <x:v>46874</x:v>
      </x:c>
      <x:c r="AC5" s="67" t="n">
        <x:f>EDATE(AB5,1)</x:f>
        <x:v>46905</x:v>
      </x:c>
      <x:c r="AD5" s="67" t="n">
        <x:f>EDATE(AC5,1)</x:f>
        <x:v>46935</x:v>
      </x:c>
      <x:c r="AE5" s="67" t="n">
        <x:f>EDATE(AD5,1)</x:f>
        <x:v>46966</x:v>
      </x:c>
      <x:c r="AF5" s="67" t="n">
        <x:f>EDATE(AE5,1)</x:f>
        <x:v>46997</x:v>
      </x:c>
      <x:c r="AG5" s="67" t="n">
        <x:f>EDATE(AF5,1)</x:f>
        <x:v>47027</x:v>
      </x:c>
      <x:c r="AH5" s="67" t="n">
        <x:f>EDATE(AG5,1)</x:f>
        <x:v>47058</x:v>
      </x:c>
      <x:c r="AI5" s="67" t="n">
        <x:f>EDATE(AH5,1)</x:f>
        <x:v>47088</x:v>
      </x:c>
      <x:c r="AJ5" s="67" t="n">
        <x:f>EDATE(AI5,1)</x:f>
        <x:v>47119</x:v>
      </x:c>
      <x:c r="AK5" s="67" t="n">
        <x:f>EDATE(AJ5,1)</x:f>
        <x:v>47150</x:v>
      </x:c>
      <x:c r="AL5" s="67" t="n">
        <x:f>EDATE(AK5,1)</x:f>
        <x:v>47178</x:v>
      </x:c>
      <x:c r="AM5" s="67" t="n">
        <x:f>EDATE(AL5,1)</x:f>
        <x:v>47209</x:v>
      </x:c>
      <x:c r="AN5" s="67" t="n">
        <x:f>EDATE(AM5,1)</x:f>
        <x:v>47239</x:v>
      </x:c>
      <x:c r="AO5" s="67" t="n">
        <x:f>EDATE(AN5,1)</x:f>
        <x:v>47270</x:v>
      </x:c>
      <x:c r="AP5" s="67" t="n">
        <x:f>EDATE(AO5,1)</x:f>
        <x:v>47300</x:v>
      </x:c>
      <x:c r="AQ5" s="67" t="n">
        <x:f>EDATE(AP5,1)</x:f>
        <x:v>47331</x:v>
      </x:c>
      <x:c r="AR5" s="67" t="n">
        <x:f>EDATE(AQ5,1)</x:f>
        <x:v>47362</x:v>
      </x:c>
      <x:c r="AS5" s="67" t="n">
        <x:f>EDATE(AR5,1)</x:f>
        <x:v>47392</x:v>
      </x:c>
      <x:c r="AT5" s="67" t="n">
        <x:f>EDATE(AS5,1)</x:f>
        <x:v>47423</x:v>
      </x:c>
      <x:c r="AU5" s="67" t="n">
        <x:f>EDATE(AT5,1)</x:f>
        <x:v>47453</x:v>
      </x:c>
      <x:c r="AV5" s="67" t="n">
        <x:f>EDATE(AU5,1)</x:f>
        <x:v>47484</x:v>
      </x:c>
      <x:c r="AW5" s="67" t="n">
        <x:f>EDATE(AV5,1)</x:f>
        <x:v>47515</x:v>
      </x:c>
      <x:c r="AX5" s="67" t="n">
        <x:f>EDATE(AW5,1)</x:f>
        <x:v>47543</x:v>
      </x:c>
      <x:c r="AY5" s="67" t="n">
        <x:f>EDATE(AX5,1)</x:f>
        <x:v>47574</x:v>
      </x:c>
      <x:c r="AZ5" s="67" t="n">
        <x:f>EDATE(AY5,1)</x:f>
        <x:v>47604</x:v>
      </x:c>
      <x:c r="BA5" s="67" t="n">
        <x:f>EDATE(AZ5,1)</x:f>
        <x:v>47635</x:v>
      </x:c>
      <x:c r="BB5" s="67" t="n">
        <x:f>EDATE(BA5,1)</x:f>
        <x:v>47665</x:v>
      </x:c>
      <x:c r="BC5" s="67" t="n">
        <x:f>EDATE(BB5,1)</x:f>
        <x:v>47696</x:v>
      </x:c>
      <x:c r="BD5" s="67" t="n">
        <x:f>EDATE(BC5,1)</x:f>
        <x:v>47727</x:v>
      </x:c>
      <x:c r="BE5" s="67" t="n">
        <x:f>EDATE(BD5,1)</x:f>
        <x:v>47757</x:v>
      </x:c>
      <x:c r="BF5" s="67" t="n">
        <x:f>EDATE(BE5,1)</x:f>
        <x:v>47788</x:v>
      </x:c>
      <x:c r="BG5" s="67" t="n">
        <x:f>EDATE(BF5,1)</x:f>
        <x:v>47818</x:v>
      </x:c>
      <x:c r="BH5" s="67" t="n">
        <x:f>EDATE(BG5,1)</x:f>
        <x:v>47849</x:v>
      </x:c>
      <x:c r="BI5" s="67" t="n">
        <x:f>EDATE(BH5,1)</x:f>
        <x:v>47880</x:v>
      </x:c>
      <x:c r="BJ5" s="67" t="n">
        <x:f>EDATE(BI5,1)</x:f>
        <x:v>47908</x:v>
      </x:c>
      <x:c r="BK5" s="67" t="n">
        <x:f>EDATE(BJ5,1)</x:f>
        <x:v>47939</x:v>
      </x:c>
      <x:c r="BL5" s="67" t="n">
        <x:f>EDATE(BK5,1)</x:f>
        <x:v>47969</x:v>
      </x:c>
      <x:c r="BM5" s="67" t="n">
        <x:f>EDATE(BL5,1)</x:f>
        <x:v>48000</x:v>
      </x:c>
      <x:c r="BN5" s="67" t="n">
        <x:f>EDATE(BM5,1)</x:f>
        <x:v>48030</x:v>
      </x:c>
      <x:c r="BO5" s="67" t="n">
        <x:f>EDATE(BN5,1)</x:f>
        <x:v>48061</x:v>
      </x:c>
      <x:c r="BP5" s="67" t="n">
        <x:f>EDATE(BO5,1)</x:f>
        <x:v>48092</x:v>
      </x:c>
      <x:c r="BQ5" s="67" t="n">
        <x:f>EDATE(BP5,1)</x:f>
        <x:v>48122</x:v>
      </x:c>
    </x:row>
    <x:row r="6" ht="23" customHeight="1">
      <x:c r="A6" s="2"/>
      <x:c r="B6" s="2"/>
      <x:c r="C6" s="2"/>
      <x:c r="D6" s="4"/>
      <x:c r="E6" s="4"/>
      <x:c r="F6" s="4"/>
      <x:c r="G6" s="4"/>
      <x:c r="H6" s="4"/>
      <x:c r="I6" s="4" t="n">
        <x:v>0</x:v>
      </x:c>
      <x:c r="J6" s="4" t="n">
        <x:v>1</x:v>
      </x:c>
      <x:c r="K6" s="4" t="n">
        <x:v>1</x:v>
      </x:c>
      <x:c r="L6" s="4" t="n">
        <x:v>1</x:v>
      </x:c>
      <x:c r="M6" s="4" t="n">
        <x:v>1</x:v>
      </x:c>
      <x:c r="N6" s="4" t="n">
        <x:v>1</x:v>
      </x:c>
      <x:c r="O6" s="4" t="n">
        <x:v>1</x:v>
      </x:c>
      <x:c r="P6" s="4" t="n">
        <x:v>1</x:v>
      </x:c>
      <x:c r="Q6" s="4" t="n">
        <x:v>1</x:v>
      </x:c>
      <x:c r="R6" s="4" t="n">
        <x:v>1</x:v>
      </x:c>
      <x:c r="S6" s="4" t="n">
        <x:v>1</x:v>
      </x:c>
      <x:c r="T6" s="4" t="n">
        <x:v>1</x:v>
      </x:c>
      <x:c r="U6" s="4" t="n">
        <x:v>1</x:v>
      </x:c>
      <x:c r="V6" s="4" t="n">
        <x:v>2</x:v>
      </x:c>
      <x:c r="W6" s="4" t="n">
        <x:v>2</x:v>
      </x:c>
      <x:c r="X6" s="4" t="n">
        <x:v>2</x:v>
      </x:c>
      <x:c r="Y6" s="4" t="n">
        <x:v>2</x:v>
      </x:c>
      <x:c r="Z6" s="4" t="n">
        <x:v>2</x:v>
      </x:c>
      <x:c r="AA6" s="4" t="n">
        <x:v>2</x:v>
      </x:c>
      <x:c r="AB6" s="4" t="n">
        <x:v>2</x:v>
      </x:c>
      <x:c r="AC6" s="4" t="n">
        <x:v>2</x:v>
      </x:c>
      <x:c r="AD6" s="4" t="n">
        <x:v>2</x:v>
      </x:c>
      <x:c r="AE6" s="4" t="n">
        <x:v>2</x:v>
      </x:c>
      <x:c r="AF6" s="4" t="n">
        <x:v>2</x:v>
      </x:c>
      <x:c r="AG6" s="4" t="n">
        <x:v>2</x:v>
      </x:c>
      <x:c r="AH6" s="4" t="n">
        <x:v>3</x:v>
      </x:c>
      <x:c r="AI6" s="4" t="n">
        <x:v>3</x:v>
      </x:c>
      <x:c r="AJ6" s="4" t="n">
        <x:v>3</x:v>
      </x:c>
      <x:c r="AK6" s="4" t="n">
        <x:v>3</x:v>
      </x:c>
      <x:c r="AL6" s="4" t="n">
        <x:v>3</x:v>
      </x:c>
      <x:c r="AM6" s="4" t="n">
        <x:v>3</x:v>
      </x:c>
      <x:c r="AN6" s="4" t="n">
        <x:v>3</x:v>
      </x:c>
      <x:c r="AO6" s="4" t="n">
        <x:v>3</x:v>
      </x:c>
      <x:c r="AP6" s="4" t="n">
        <x:v>3</x:v>
      </x:c>
      <x:c r="AQ6" s="4" t="n">
        <x:v>3</x:v>
      </x:c>
      <x:c r="AR6" s="4" t="n">
        <x:v>3</x:v>
      </x:c>
      <x:c r="AS6" s="4" t="n">
        <x:v>3</x:v>
      </x:c>
      <x:c r="AT6" s="4" t="n">
        <x:v>4</x:v>
      </x:c>
      <x:c r="AU6" s="4" t="n">
        <x:v>4</x:v>
      </x:c>
      <x:c r="AV6" s="4" t="n">
        <x:v>4</x:v>
      </x:c>
      <x:c r="AW6" s="4" t="n">
        <x:v>4</x:v>
      </x:c>
      <x:c r="AX6" s="4" t="n">
        <x:v>4</x:v>
      </x:c>
      <x:c r="AY6" s="4" t="n">
        <x:v>4</x:v>
      </x:c>
      <x:c r="AZ6" s="4" t="n">
        <x:v>4</x:v>
      </x:c>
      <x:c r="BA6" s="4" t="n">
        <x:v>4</x:v>
      </x:c>
      <x:c r="BB6" s="4" t="n">
        <x:v>4</x:v>
      </x:c>
      <x:c r="BC6" s="4" t="n">
        <x:v>4</x:v>
      </x:c>
      <x:c r="BD6" s="4" t="n">
        <x:v>4</x:v>
      </x:c>
      <x:c r="BE6" s="4" t="n">
        <x:v>4</x:v>
      </x:c>
      <x:c r="BF6" s="4" t="n">
        <x:v>5</x:v>
      </x:c>
      <x:c r="BG6" s="4" t="n">
        <x:v>5</x:v>
      </x:c>
      <x:c r="BH6" s="4" t="n">
        <x:v>5</x:v>
      </x:c>
      <x:c r="BI6" s="4" t="n">
        <x:v>5</x:v>
      </x:c>
      <x:c r="BJ6" s="4" t="n">
        <x:v>5</x:v>
      </x:c>
      <x:c r="BK6" s="4" t="n">
        <x:v>5</x:v>
      </x:c>
      <x:c r="BL6" s="4" t="n">
        <x:v>5</x:v>
      </x:c>
      <x:c r="BM6" s="4" t="n">
        <x:v>5</x:v>
      </x:c>
      <x:c r="BN6" s="4" t="n">
        <x:v>5</x:v>
      </x:c>
      <x:c r="BO6" s="4" t="n">
        <x:v>5</x:v>
      </x:c>
      <x:c r="BP6" s="4" t="n">
        <x:v>5</x:v>
      </x:c>
      <x:c r="BQ6" s="4" t="n">
        <x:v>5</x:v>
      </x:c>
    </x:row>
    <x:row r="7" ht="23" customHeight="1">
      <x:c r="A7" s="2"/>
      <x:c r="B7" s="2"/>
      <x:c r="C7" s="2"/>
      <x:c r="D7" s="4"/>
      <x:c r="E7" s="4"/>
      <x:c r="F7" s="4"/>
      <x:c r="G7" s="4"/>
      <x:c r="H7" s="4"/>
      <x:c r="I7" s="4" t="n">
        <x:v>0</x:v>
      </x:c>
      <x:c r="J7" s="4" t="n">
        <x:v>1</x:v>
      </x:c>
      <x:c r="K7" s="4" t="n">
        <x:v>2</x:v>
      </x:c>
      <x:c r="L7" s="4" t="n">
        <x:v>3</x:v>
      </x:c>
      <x:c r="M7" s="4" t="n">
        <x:v>4</x:v>
      </x:c>
      <x:c r="N7" s="4" t="n">
        <x:v>5</x:v>
      </x:c>
      <x:c r="O7" s="4" t="n">
        <x:v>6</x:v>
      </x:c>
      <x:c r="P7" s="4" t="n">
        <x:v>7</x:v>
      </x:c>
      <x:c r="Q7" s="4" t="n">
        <x:v>8</x:v>
      </x:c>
      <x:c r="R7" s="4" t="n">
        <x:v>9</x:v>
      </x:c>
      <x:c r="S7" s="4" t="n">
        <x:v>10</x:v>
      </x:c>
      <x:c r="T7" s="4" t="n">
        <x:v>11</x:v>
      </x:c>
      <x:c r="U7" s="4" t="n">
        <x:v>12</x:v>
      </x:c>
      <x:c r="V7" s="4" t="n">
        <x:v>13</x:v>
      </x:c>
      <x:c r="W7" s="4" t="n">
        <x:v>14</x:v>
      </x:c>
      <x:c r="X7" s="4" t="n">
        <x:v>15</x:v>
      </x:c>
      <x:c r="Y7" s="4" t="n">
        <x:v>16</x:v>
      </x:c>
      <x:c r="Z7" s="4" t="n">
        <x:v>17</x:v>
      </x:c>
      <x:c r="AA7" s="4" t="n">
        <x:v>18</x:v>
      </x:c>
      <x:c r="AB7" s="4" t="n">
        <x:v>19</x:v>
      </x:c>
      <x:c r="AC7" s="4" t="n">
        <x:v>20</x:v>
      </x:c>
      <x:c r="AD7" s="4" t="n">
        <x:v>21</x:v>
      </x:c>
      <x:c r="AE7" s="4" t="n">
        <x:v>22</x:v>
      </x:c>
      <x:c r="AF7" s="4" t="n">
        <x:v>23</x:v>
      </x:c>
      <x:c r="AG7" s="4" t="n">
        <x:v>24</x:v>
      </x:c>
      <x:c r="AH7" s="4" t="n">
        <x:v>25</x:v>
      </x:c>
      <x:c r="AI7" s="4" t="n">
        <x:v>26</x:v>
      </x:c>
      <x:c r="AJ7" s="4" t="n">
        <x:v>27</x:v>
      </x:c>
      <x:c r="AK7" s="4" t="n">
        <x:v>28</x:v>
      </x:c>
      <x:c r="AL7" s="4" t="n">
        <x:v>29</x:v>
      </x:c>
      <x:c r="AM7" s="4" t="n">
        <x:v>30</x:v>
      </x:c>
      <x:c r="AN7" s="4" t="n">
        <x:v>31</x:v>
      </x:c>
      <x:c r="AO7" s="4" t="n">
        <x:v>32</x:v>
      </x:c>
      <x:c r="AP7" s="4" t="n">
        <x:v>33</x:v>
      </x:c>
      <x:c r="AQ7" s="4" t="n">
        <x:v>34</x:v>
      </x:c>
      <x:c r="AR7" s="4" t="n">
        <x:v>35</x:v>
      </x:c>
      <x:c r="AS7" s="4" t="n">
        <x:v>36</x:v>
      </x:c>
      <x:c r="AT7" s="4" t="n">
        <x:v>37</x:v>
      </x:c>
      <x:c r="AU7" s="4" t="n">
        <x:v>38</x:v>
      </x:c>
      <x:c r="AV7" s="4" t="n">
        <x:v>39</x:v>
      </x:c>
      <x:c r="AW7" s="4" t="n">
        <x:v>40</x:v>
      </x:c>
      <x:c r="AX7" s="4" t="n">
        <x:v>41</x:v>
      </x:c>
      <x:c r="AY7" s="4" t="n">
        <x:v>42</x:v>
      </x:c>
      <x:c r="AZ7" s="4" t="n">
        <x:v>43</x:v>
      </x:c>
      <x:c r="BA7" s="4" t="n">
        <x:v>44</x:v>
      </x:c>
      <x:c r="BB7" s="4" t="n">
        <x:v>45</x:v>
      </x:c>
      <x:c r="BC7" s="4" t="n">
        <x:v>46</x:v>
      </x:c>
      <x:c r="BD7" s="4" t="n">
        <x:v>47</x:v>
      </x:c>
      <x:c r="BE7" s="4" t="n">
        <x:v>48</x:v>
      </x:c>
      <x:c r="BF7" s="4" t="n">
        <x:v>49</x:v>
      </x:c>
      <x:c r="BG7" s="4" t="n">
        <x:v>50</x:v>
      </x:c>
      <x:c r="BH7" s="4" t="n">
        <x:v>51</x:v>
      </x:c>
      <x:c r="BI7" s="4" t="n">
        <x:v>52</x:v>
      </x:c>
      <x:c r="BJ7" s="4" t="n">
        <x:v>53</x:v>
      </x:c>
      <x:c r="BK7" s="4" t="n">
        <x:v>54</x:v>
      </x:c>
      <x:c r="BL7" s="4" t="n">
        <x:v>55</x:v>
      </x:c>
      <x:c r="BM7" s="4" t="n">
        <x:v>56</x:v>
      </x:c>
      <x:c r="BN7" s="4" t="n">
        <x:v>57</x:v>
      </x:c>
      <x:c r="BO7" s="4" t="n">
        <x:v>58</x:v>
      </x:c>
      <x:c r="BP7" s="4" t="n">
        <x:v>59</x:v>
      </x:c>
      <x:c r="BQ7" s="4" t="n">
        <x:v>60</x:v>
      </x:c>
    </x:row>
    <x:row r="8" ht="23" customHeight="1">
      <x:c r="A8" s="2"/>
      <x:c r="B8" s="2"/>
      <x:c r="C8" s="2" t="str">
        <x:v>App revenue</x:v>
      </x:c>
      <x:c r="D8" s="79" t="n">
        <x:f>IF(COUNT(J8:U8)=12,SUM(J8:U8),"n.a.")</x:f>
        <x:v>135000</x:v>
      </x:c>
      <x:c r="E8" s="79" t="n">
        <x:f>IF(COUNT(V8:AG8)=12,SUM(V8:AG8),"n.a.")</x:f>
        <x:v>675000</x:v>
      </x:c>
      <x:c r="F8" s="79" t="n">
        <x:f>IF(COUNT(AH8:AS8)=12,SUM(AH8:AS8),"n.a.")</x:f>
        <x:v>1890000</x:v>
      </x:c>
      <x:c r="G8" s="79" t="n">
        <x:f>IF(COUNT(AT8:BE8)=12,SUM(AT8:BE8),"n.a.")</x:f>
        <x:v>4050000</x:v>
      </x:c>
      <x:c r="H8" s="79" t="n">
        <x:f>IF(COUNT(BF8:BQ8)=12,SUM(BF8:BQ8),"n.a.")</x:f>
        <x:v>8100000</x:v>
      </x:c>
      <x:c r="I8" s="86" t="n">
        <x:f>'Revenue model'!I17</x:f>
        <x:v>0</x:v>
      </x:c>
      <x:c r="J8" s="86" t="n">
        <x:f>'Revenue model'!J17</x:f>
        <x:v>937.5</x:v>
      </x:c>
      <x:c r="K8" s="86" t="n">
        <x:f>'Revenue model'!K17</x:f>
        <x:v>2812.5</x:v>
      </x:c>
      <x:c r="L8" s="86" t="n">
        <x:f>'Revenue model'!L17</x:f>
        <x:v>4687.5</x:v>
      </x:c>
      <x:c r="M8" s="86" t="n">
        <x:f>'Revenue model'!M17</x:f>
        <x:v>6562.5</x:v>
      </x:c>
      <x:c r="N8" s="86" t="n">
        <x:f>'Revenue model'!N17</x:f>
        <x:v>8437.5</x:v>
      </x:c>
      <x:c r="O8" s="86" t="n">
        <x:f>'Revenue model'!O17</x:f>
        <x:v>10312.5</x:v>
      </x:c>
      <x:c r="P8" s="86" t="n">
        <x:f>'Revenue model'!P17</x:f>
        <x:v>12187.5</x:v>
      </x:c>
      <x:c r="Q8" s="86" t="n">
        <x:f>'Revenue model'!Q17</x:f>
        <x:v>14062.499999999998</x:v>
      </x:c>
      <x:c r="R8" s="86" t="n">
        <x:f>'Revenue model'!R17</x:f>
        <x:v>15937.499999999998</x:v>
      </x:c>
      <x:c r="S8" s="86" t="n">
        <x:f>'Revenue model'!S17</x:f>
        <x:v>17812.5</x:v>
      </x:c>
      <x:c r="T8" s="86" t="n">
        <x:f>'Revenue model'!T17</x:f>
        <x:v>19687.5</x:v>
      </x:c>
      <x:c r="U8" s="86" t="n">
        <x:f>'Revenue model'!U17</x:f>
        <x:v>21562.5</x:v>
      </x:c>
      <x:c r="V8" s="86" t="n">
        <x:f>'Revenue model'!V17</x:f>
        <x:v>25312.5</x:v>
      </x:c>
      <x:c r="W8" s="86" t="n">
        <x:f>'Revenue model'!W17</x:f>
        <x:v>30937.5</x:v>
      </x:c>
      <x:c r="X8" s="86" t="n">
        <x:f>'Revenue model'!X17</x:f>
        <x:v>36562.5</x:v>
      </x:c>
      <x:c r="Y8" s="86" t="n">
        <x:f>'Revenue model'!Y17</x:f>
        <x:v>42187.5</x:v>
      </x:c>
      <x:c r="Z8" s="86" t="n">
        <x:f>'Revenue model'!Z17</x:f>
        <x:v>47812.5</x:v>
      </x:c>
      <x:c r="AA8" s="86" t="n">
        <x:f>'Revenue model'!AA17</x:f>
        <x:v>53437.5</x:v>
      </x:c>
      <x:c r="AB8" s="86" t="n">
        <x:f>'Revenue model'!AB17</x:f>
        <x:v>59062.5</x:v>
      </x:c>
      <x:c r="AC8" s="86" t="n">
        <x:f>'Revenue model'!AC17</x:f>
        <x:v>64687.5</x:v>
      </x:c>
      <x:c r="AD8" s="86" t="n">
        <x:f>'Revenue model'!AD17</x:f>
        <x:v>70312.5</x:v>
      </x:c>
      <x:c r="AE8" s="86" t="n">
        <x:f>'Revenue model'!AE17</x:f>
        <x:v>75937.5</x:v>
      </x:c>
      <x:c r="AF8" s="86" t="n">
        <x:f>'Revenue model'!AF17</x:f>
        <x:v>81562.5</x:v>
      </x:c>
      <x:c r="AG8" s="86" t="n">
        <x:f>'Revenue model'!AG17</x:f>
        <x:v>87187.5</x:v>
      </x:c>
      <x:c r="AH8" s="86" t="n">
        <x:f>'Revenue model'!AH17</x:f>
        <x:v>95625</x:v>
      </x:c>
      <x:c r="AI8" s="86" t="n">
        <x:f>'Revenue model'!AI17</x:f>
        <x:v>106875</x:v>
      </x:c>
      <x:c r="AJ8" s="86" t="n">
        <x:f>'Revenue model'!AJ17</x:f>
        <x:v>118125</x:v>
      </x:c>
      <x:c r="AK8" s="86" t="n">
        <x:f>'Revenue model'!AK17</x:f>
        <x:v>129375</x:v>
      </x:c>
      <x:c r="AL8" s="86" t="n">
        <x:f>'Revenue model'!AL17</x:f>
        <x:v>140625</x:v>
      </x:c>
      <x:c r="AM8" s="86" t="n">
        <x:f>'Revenue model'!AM17</x:f>
        <x:v>151875</x:v>
      </x:c>
      <x:c r="AN8" s="86" t="n">
        <x:f>'Revenue model'!AN17</x:f>
        <x:v>163125</x:v>
      </x:c>
      <x:c r="AO8" s="86" t="n">
        <x:f>'Revenue model'!AO17</x:f>
        <x:v>174375</x:v>
      </x:c>
      <x:c r="AP8" s="86" t="n">
        <x:f>'Revenue model'!AP17</x:f>
        <x:v>185625</x:v>
      </x:c>
      <x:c r="AQ8" s="86" t="n">
        <x:f>'Revenue model'!AQ17</x:f>
        <x:v>196875</x:v>
      </x:c>
      <x:c r="AR8" s="86" t="n">
        <x:f>'Revenue model'!AR17</x:f>
        <x:v>208125</x:v>
      </x:c>
      <x:c r="AS8" s="86" t="n">
        <x:f>'Revenue model'!AS17</x:f>
        <x:v>219375</x:v>
      </x:c>
      <x:c r="AT8" s="86" t="n">
        <x:f>'Revenue model'!AT17</x:f>
        <x:v>234375</x:v>
      </x:c>
      <x:c r="AU8" s="86" t="n">
        <x:f>'Revenue model'!AU17</x:f>
        <x:v>253125</x:v>
      </x:c>
      <x:c r="AV8" s="86" t="n">
        <x:f>'Revenue model'!AV17</x:f>
        <x:v>271875</x:v>
      </x:c>
      <x:c r="AW8" s="86" t="n">
        <x:f>'Revenue model'!AW17</x:f>
        <x:v>290625</x:v>
      </x:c>
      <x:c r="AX8" s="86" t="n">
        <x:f>'Revenue model'!AX17</x:f>
        <x:v>309375.00000000006</x:v>
      </x:c>
      <x:c r="AY8" s="86" t="n">
        <x:f>'Revenue model'!AY17</x:f>
        <x:v>328125.00000000006</x:v>
      </x:c>
      <x:c r="AZ8" s="86" t="n">
        <x:f>'Revenue model'!AZ17</x:f>
        <x:v>346875.00000000006</x:v>
      </x:c>
      <x:c r="BA8" s="86" t="n">
        <x:f>'Revenue model'!BA17</x:f>
        <x:v>365625.00000000006</x:v>
      </x:c>
      <x:c r="BB8" s="86" t="n">
        <x:f>'Revenue model'!BB17</x:f>
        <x:v>384375.0000000001</x:v>
      </x:c>
      <x:c r="BC8" s="86" t="n">
        <x:f>'Revenue model'!BC17</x:f>
        <x:v>403125.0000000001</x:v>
      </x:c>
      <x:c r="BD8" s="86" t="n">
        <x:f>'Revenue model'!BD17</x:f>
        <x:v>421875.00000000006</x:v>
      </x:c>
      <x:c r="BE8" s="86" t="n">
        <x:f>'Revenue model'!BE17</x:f>
        <x:v>440625.00000000006</x:v>
      </x:c>
      <x:c r="BF8" s="86" t="n">
        <x:f>'Revenue model'!BF17</x:f>
        <x:v>468750</x:v>
      </x:c>
      <x:c r="BG8" s="86" t="n">
        <x:f>'Revenue model'!BG17</x:f>
        <x:v>506250</x:v>
      </x:c>
      <x:c r="BH8" s="86" t="n">
        <x:f>'Revenue model'!BH17</x:f>
        <x:v>543750</x:v>
      </x:c>
      <x:c r="BI8" s="86" t="n">
        <x:f>'Revenue model'!BI17</x:f>
        <x:v>581250</x:v>
      </x:c>
      <x:c r="BJ8" s="86" t="n">
        <x:f>'Revenue model'!BJ17</x:f>
        <x:v>618750.0000000001</x:v>
      </x:c>
      <x:c r="BK8" s="86" t="n">
        <x:f>'Revenue model'!BK17</x:f>
        <x:v>656250.0000000001</x:v>
      </x:c>
      <x:c r="BL8" s="86" t="n">
        <x:f>'Revenue model'!BL17</x:f>
        <x:v>693750.0000000001</x:v>
      </x:c>
      <x:c r="BM8" s="86" t="n">
        <x:f>'Revenue model'!BM17</x:f>
        <x:v>731250.0000000001</x:v>
      </x:c>
      <x:c r="BN8" s="86" t="n">
        <x:f>'Revenue model'!BN17</x:f>
        <x:v>768750.0000000002</x:v>
      </x:c>
      <x:c r="BO8" s="86" t="n">
        <x:f>'Revenue model'!BO17</x:f>
        <x:v>806250.0000000002</x:v>
      </x:c>
      <x:c r="BP8" s="86" t="n">
        <x:f>'Revenue model'!BP17</x:f>
        <x:v>843750.0000000001</x:v>
      </x:c>
      <x:c r="BQ8" s="86" t="n">
        <x:f>'Revenue model'!BQ17</x:f>
        <x:v>881250.0000000001</x:v>
      </x:c>
    </x:row>
    <x:row r="9" ht="23" customHeight="1">
      <x:c r="A9" s="2"/>
      <x:c r="B9" s="2"/>
      <x:c r="C9" s="2" t="str">
        <x:v>Strategy revenue</x:v>
      </x:c>
      <x:c r="D9" s="79" t="n">
        <x:f>IF(COUNT(J9:U9)=12,SUM(J9:U9),"n.a.")</x:f>
        <x:v>3000000</x:v>
      </x:c>
      <x:c r="E9" s="79" t="n">
        <x:f>IF(COUNT(V9:AG9)=12,SUM(V9:AG9),"n.a.")</x:f>
        <x:v>7199999.999999998</x:v>
      </x:c>
      <x:c r="F9" s="79" t="n">
        <x:f>IF(COUNT(AH9:AS9)=12,SUM(AH9:AS9),"n.a.")</x:f>
        <x:v>20999999.999999996</x:v>
      </x:c>
      <x:c r="G9" s="79" t="n">
        <x:f>IF(COUNT(AT9:BE9)=12,SUM(AT9:BE9),"n.a.")</x:f>
        <x:v>48000000</x:v>
      </x:c>
      <x:c r="H9" s="79" t="n">
        <x:f>IF(COUNT(BF9:BQ9)=12,SUM(BF9:BQ9),"n.a.")</x:f>
        <x:v>93000000</x:v>
      </x:c>
      <x:c r="I9" s="86" t="n">
        <x:f>'Revenue model'!I28</x:f>
        <x:v>125000</x:v>
      </x:c>
      <x:c r="J9" s="86" t="n">
        <x:f>'Revenue model'!J28</x:f>
        <x:v>250000</x:v>
      </x:c>
      <x:c r="K9" s="86" t="n">
        <x:f>'Revenue model'!K28</x:f>
        <x:v>250000</x:v>
      </x:c>
      <x:c r="L9" s="86" t="n">
        <x:f>'Revenue model'!L28</x:f>
        <x:v>250000</x:v>
      </x:c>
      <x:c r="M9" s="86" t="n">
        <x:f>'Revenue model'!M28</x:f>
        <x:v>250000</x:v>
      </x:c>
      <x:c r="N9" s="86" t="n">
        <x:f>'Revenue model'!N28</x:f>
        <x:v>250000</x:v>
      </x:c>
      <x:c r="O9" s="86" t="n">
        <x:f>'Revenue model'!O28</x:f>
        <x:v>250000</x:v>
      </x:c>
      <x:c r="P9" s="86" t="n">
        <x:f>'Revenue model'!P28</x:f>
        <x:v>250000</x:v>
      </x:c>
      <x:c r="Q9" s="86" t="n">
        <x:f>'Revenue model'!Q28</x:f>
        <x:v>250000</x:v>
      </x:c>
      <x:c r="R9" s="86" t="n">
        <x:f>'Revenue model'!R28</x:f>
        <x:v>250000</x:v>
      </x:c>
      <x:c r="S9" s="86" t="n">
        <x:f>'Revenue model'!S28</x:f>
        <x:v>250000</x:v>
      </x:c>
      <x:c r="T9" s="86" t="n">
        <x:f>'Revenue model'!T28</x:f>
        <x:v>250000</x:v>
      </x:c>
      <x:c r="U9" s="86" t="n">
        <x:f>'Revenue model'!U28</x:f>
        <x:v>250000</x:v>
      </x:c>
      <x:c r="V9" s="86" t="n">
        <x:f>'Revenue model'!V28</x:f>
        <x:v>416666.6666666667</x:v>
      </x:c>
      <x:c r="W9" s="86" t="n">
        <x:f>'Revenue model'!W28</x:f>
        <x:v>450000</x:v>
      </x:c>
      <x:c r="X9" s="86" t="n">
        <x:f>'Revenue model'!X28</x:f>
        <x:v>483333.3333333333</x:v>
      </x:c>
      <x:c r="Y9" s="86" t="n">
        <x:f>'Revenue model'!Y28</x:f>
        <x:v>516666.6666666666</x:v>
      </x:c>
      <x:c r="Z9" s="86" t="n">
        <x:f>'Revenue model'!Z28</x:f>
        <x:v>549999.9999999999</x:v>
      </x:c>
      <x:c r="AA9" s="86" t="n">
        <x:f>'Revenue model'!AA28</x:f>
        <x:v>583333.3333333333</x:v>
      </x:c>
      <x:c r="AB9" s="86" t="n">
        <x:f>'Revenue model'!AB28</x:f>
        <x:v>616666.6666666665</x:v>
      </x:c>
      <x:c r="AC9" s="86" t="n">
        <x:f>'Revenue model'!AC28</x:f>
        <x:v>649999.9999999998</x:v>
      </x:c>
      <x:c r="AD9" s="86" t="n">
        <x:f>'Revenue model'!AD28</x:f>
        <x:v>683333.3333333331</x:v>
      </x:c>
      <x:c r="AE9" s="86" t="n">
        <x:f>'Revenue model'!AE28</x:f>
        <x:v>716666.6666666664</x:v>
      </x:c>
      <x:c r="AF9" s="86" t="n">
        <x:f>'Revenue model'!AF28</x:f>
        <x:v>749999.9999999998</x:v>
      </x:c>
      <x:c r="AG9" s="86" t="n">
        <x:f>'Revenue model'!AG28</x:f>
        <x:v>783333.333333333</x:v>
      </x:c>
      <x:c r="AH9" s="86" t="n">
        <x:f>'Revenue model'!AH28</x:f>
        <x:v>1062499.9999999995</x:v>
      </x:c>
      <x:c r="AI9" s="86" t="n">
        <x:f>'Revenue model'!AI28</x:f>
        <x:v>1187499.9999999995</x:v>
      </x:c>
      <x:c r="AJ9" s="86" t="n">
        <x:f>'Revenue model'!AJ28</x:f>
        <x:v>1312499.9999999995</x:v>
      </x:c>
      <x:c r="AK9" s="86" t="n">
        <x:f>'Revenue model'!AK28</x:f>
        <x:v>1437499.9999999995</x:v>
      </x:c>
      <x:c r="AL9" s="86" t="n">
        <x:f>'Revenue model'!AL28</x:f>
        <x:v>1562499.9999999995</x:v>
      </x:c>
      <x:c r="AM9" s="86" t="n">
        <x:f>'Revenue model'!AM28</x:f>
        <x:v>1687499.9999999995</x:v>
      </x:c>
      <x:c r="AN9" s="86" t="n">
        <x:f>'Revenue model'!AN28</x:f>
        <x:v>1812499.9999999995</x:v>
      </x:c>
      <x:c r="AO9" s="86" t="n">
        <x:f>'Revenue model'!AO28</x:f>
        <x:v>1937499.9999999995</x:v>
      </x:c>
      <x:c r="AP9" s="86" t="n">
        <x:f>'Revenue model'!AP28</x:f>
        <x:v>2062499.9999999995</x:v>
      </x:c>
      <x:c r="AQ9" s="86" t="n">
        <x:f>'Revenue model'!AQ28</x:f>
        <x:v>2187499.9999999995</x:v>
      </x:c>
      <x:c r="AR9" s="86" t="n">
        <x:f>'Revenue model'!AR28</x:f>
        <x:v>2312499.9999999995</x:v>
      </x:c>
      <x:c r="AS9" s="86" t="n">
        <x:f>'Revenue model'!AS28</x:f>
        <x:v>2437499.9999999995</x:v>
      </x:c>
      <x:c r="AT9" s="86" t="n">
        <x:f>'Revenue model'!AT28</x:f>
        <x:v>2624999.9999999995</x:v>
      </x:c>
      <x:c r="AU9" s="86" t="n">
        <x:f>'Revenue model'!AU28</x:f>
        <x:v>2874999.9999999995</x:v>
      </x:c>
      <x:c r="AV9" s="86" t="n">
        <x:f>'Revenue model'!AV28</x:f>
        <x:v>3124999.9999999995</x:v>
      </x:c>
      <x:c r="AW9" s="86" t="n">
        <x:f>'Revenue model'!AW28</x:f>
        <x:v>3374999.9999999995</x:v>
      </x:c>
      <x:c r="AX9" s="86" t="n">
        <x:f>'Revenue model'!AX28</x:f>
        <x:v>3624999.9999999995</x:v>
      </x:c>
      <x:c r="AY9" s="86" t="n">
        <x:f>'Revenue model'!AY28</x:f>
        <x:v>3874999.9999999995</x:v>
      </x:c>
      <x:c r="AZ9" s="86" t="n">
        <x:f>'Revenue model'!AZ28</x:f>
        <x:v>4125000</x:v>
      </x:c>
      <x:c r="BA9" s="86" t="n">
        <x:f>'Revenue model'!BA28</x:f>
        <x:v>4375000</x:v>
      </x:c>
      <x:c r="BB9" s="86" t="n">
        <x:f>'Revenue model'!BB28</x:f>
        <x:v>4625000</x:v>
      </x:c>
      <x:c r="BC9" s="86" t="n">
        <x:f>'Revenue model'!BC28</x:f>
        <x:v>4875000</x:v>
      </x:c>
      <x:c r="BD9" s="86" t="n">
        <x:f>'Revenue model'!BD28</x:f>
        <x:v>5125000</x:v>
      </x:c>
      <x:c r="BE9" s="86" t="n">
        <x:f>'Revenue model'!BE28</x:f>
        <x:v>5375000</x:v>
      </x:c>
      <x:c r="BF9" s="86" t="n">
        <x:f>'Revenue model'!BF28</x:f>
        <x:v>5687500</x:v>
      </x:c>
      <x:c r="BG9" s="86" t="n">
        <x:f>'Revenue model'!BG28</x:f>
        <x:v>6062500</x:v>
      </x:c>
      <x:c r="BH9" s="86" t="n">
        <x:f>'Revenue model'!BH28</x:f>
        <x:v>6437500</x:v>
      </x:c>
      <x:c r="BI9" s="86" t="n">
        <x:f>'Revenue model'!BI28</x:f>
        <x:v>6812500</x:v>
      </x:c>
      <x:c r="BJ9" s="86" t="n">
        <x:f>'Revenue model'!BJ28</x:f>
        <x:v>7187500</x:v>
      </x:c>
      <x:c r="BK9" s="86" t="n">
        <x:f>'Revenue model'!BK28</x:f>
        <x:v>7562500</x:v>
      </x:c>
      <x:c r="BL9" s="86" t="n">
        <x:f>'Revenue model'!BL28</x:f>
        <x:v>7937500</x:v>
      </x:c>
      <x:c r="BM9" s="86" t="n">
        <x:f>'Revenue model'!BM28</x:f>
        <x:v>8312500</x:v>
      </x:c>
      <x:c r="BN9" s="86" t="n">
        <x:f>'Revenue model'!BN28</x:f>
        <x:v>8687500</x:v>
      </x:c>
      <x:c r="BO9" s="86" t="n">
        <x:f>'Revenue model'!BO28</x:f>
        <x:v>9062500</x:v>
      </x:c>
      <x:c r="BP9" s="86" t="n">
        <x:f>'Revenue model'!BP28</x:f>
        <x:v>9437500</x:v>
      </x:c>
      <x:c r="BQ9" s="86" t="n">
        <x:f>'Revenue model'!BQ28</x:f>
        <x:v>9812500</x:v>
      </x:c>
    </x:row>
    <x:row r="10" ht="23" customHeight="1">
      <x:c r="A10" s="2"/>
      <x:c r="B10" s="2"/>
      <x:c r="C10" s="2" t="str">
        <x:v>RIA licensing revenue</x:v>
      </x:c>
      <x:c r="D10" s="79" t="n">
        <x:f>IF(COUNT(J10:U10)=12,SUM(J10:U10),"n.a.")</x:f>
        <x:v>0</x:v>
      </x:c>
      <x:c r="E10" s="79" t="n">
        <x:f>IF(COUNT(V10:AG10)=12,SUM(V10:AG10),"n.a.")</x:f>
        <x:v>0</x:v>
      </x:c>
      <x:c r="F10" s="79" t="n">
        <x:f>IF(COUNT(AH10:AS10)=12,SUM(AH10:AS10),"n.a.")</x:f>
        <x:v>1499999.9999999998</x:v>
      </x:c>
      <x:c r="G10" s="79" t="n">
        <x:f>IF(COUNT(AT10:BE10)=12,SUM(AT10:BE10),"n.a.")</x:f>
        <x:v>7500000</x:v>
      </x:c>
      <x:c r="H10" s="79" t="n">
        <x:f>IF(COUNT(BF10:BQ10)=12,SUM(BF10:BQ10),"n.a.")</x:f>
        <x:v>25999999.999999993</x:v>
      </x:c>
      <x:c r="I10" s="86" t="n">
        <x:f>'Revenue model'!I36</x:f>
        <x:v>0</x:v>
      </x:c>
      <x:c r="J10" s="86" t="n">
        <x:f>'Revenue model'!J36</x:f>
        <x:v>0</x:v>
      </x:c>
      <x:c r="K10" s="86" t="n">
        <x:f>'Revenue model'!K36</x:f>
        <x:v>0</x:v>
      </x:c>
      <x:c r="L10" s="86" t="n">
        <x:f>'Revenue model'!L36</x:f>
        <x:v>0</x:v>
      </x:c>
      <x:c r="M10" s="86" t="n">
        <x:f>'Revenue model'!M36</x:f>
        <x:v>0</x:v>
      </x:c>
      <x:c r="N10" s="86" t="n">
        <x:f>'Revenue model'!N36</x:f>
        <x:v>0</x:v>
      </x:c>
      <x:c r="O10" s="86" t="n">
        <x:f>'Revenue model'!O36</x:f>
        <x:v>0</x:v>
      </x:c>
      <x:c r="P10" s="86" t="n">
        <x:f>'Revenue model'!P36</x:f>
        <x:v>0</x:v>
      </x:c>
      <x:c r="Q10" s="86" t="n">
        <x:f>'Revenue model'!Q36</x:f>
        <x:v>0</x:v>
      </x:c>
      <x:c r="R10" s="86" t="n">
        <x:f>'Revenue model'!R36</x:f>
        <x:v>0</x:v>
      </x:c>
      <x:c r="S10" s="86" t="n">
        <x:f>'Revenue model'!S36</x:f>
        <x:v>0</x:v>
      </x:c>
      <x:c r="T10" s="86" t="n">
        <x:f>'Revenue model'!T36</x:f>
        <x:v>0</x:v>
      </x:c>
      <x:c r="U10" s="86" t="n">
        <x:f>'Revenue model'!U36</x:f>
        <x:v>0</x:v>
      </x:c>
      <x:c r="V10" s="86" t="n">
        <x:f>'Revenue model'!V36</x:f>
        <x:v>0</x:v>
      </x:c>
      <x:c r="W10" s="86" t="n">
        <x:f>'Revenue model'!W36</x:f>
        <x:v>0</x:v>
      </x:c>
      <x:c r="X10" s="86" t="n">
        <x:f>'Revenue model'!X36</x:f>
        <x:v>0</x:v>
      </x:c>
      <x:c r="Y10" s="86" t="n">
        <x:f>'Revenue model'!Y36</x:f>
        <x:v>0</x:v>
      </x:c>
      <x:c r="Z10" s="86" t="n">
        <x:f>'Revenue model'!Z36</x:f>
        <x:v>0</x:v>
      </x:c>
      <x:c r="AA10" s="86" t="n">
        <x:f>'Revenue model'!AA36</x:f>
        <x:v>0</x:v>
      </x:c>
      <x:c r="AB10" s="86" t="n">
        <x:f>'Revenue model'!AB36</x:f>
        <x:v>0</x:v>
      </x:c>
      <x:c r="AC10" s="86" t="n">
        <x:f>'Revenue model'!AC36</x:f>
        <x:v>0</x:v>
      </x:c>
      <x:c r="AD10" s="86" t="n">
        <x:f>'Revenue model'!AD36</x:f>
        <x:v>0</x:v>
      </x:c>
      <x:c r="AE10" s="86" t="n">
        <x:f>'Revenue model'!AE36</x:f>
        <x:v>0</x:v>
      </x:c>
      <x:c r="AF10" s="86" t="n">
        <x:f>'Revenue model'!AF36</x:f>
        <x:v>0</x:v>
      </x:c>
      <x:c r="AG10" s="86" t="n">
        <x:f>'Revenue model'!AG36</x:f>
        <x:v>0</x:v>
      </x:c>
      <x:c r="AH10" s="86" t="n">
        <x:f>'Revenue model'!AH36</x:f>
        <x:v>10416.666666666666</x:v>
      </x:c>
      <x:c r="AI10" s="86" t="n">
        <x:f>'Revenue model'!AI36</x:f>
        <x:v>31250</x:v>
      </x:c>
      <x:c r="AJ10" s="86" t="n">
        <x:f>'Revenue model'!AJ36</x:f>
        <x:v>52083.333333333336</x:v>
      </x:c>
      <x:c r="AK10" s="86" t="n">
        <x:f>'Revenue model'!AK36</x:f>
        <x:v>72916.66666666667</x:v>
      </x:c>
      <x:c r="AL10" s="86" t="n">
        <x:f>'Revenue model'!AL36</x:f>
        <x:v>93750</x:v>
      </x:c>
      <x:c r="AM10" s="86" t="n">
        <x:f>'Revenue model'!AM36</x:f>
        <x:v>114583.33333333333</x:v>
      </x:c>
      <x:c r="AN10" s="86" t="n">
        <x:f>'Revenue model'!AN36</x:f>
        <x:v>135416.66666666666</x:v>
      </x:c>
      <x:c r="AO10" s="86" t="n">
        <x:f>'Revenue model'!AO36</x:f>
        <x:v>156250</x:v>
      </x:c>
      <x:c r="AP10" s="86" t="n">
        <x:f>'Revenue model'!AP36</x:f>
        <x:v>177083.33333333334</x:v>
      </x:c>
      <x:c r="AQ10" s="86" t="n">
        <x:f>'Revenue model'!AQ36</x:f>
        <x:v>197916.66666666666</x:v>
      </x:c>
      <x:c r="AR10" s="86" t="n">
        <x:f>'Revenue model'!AR36</x:f>
        <x:v>218750</x:v>
      </x:c>
      <x:c r="AS10" s="86" t="n">
        <x:f>'Revenue model'!AS36</x:f>
        <x:v>239583.33333333334</x:v>
      </x:c>
      <x:c r="AT10" s="86" t="n">
        <x:f>'Revenue model'!AT36</x:f>
        <x:v>281250</x:v>
      </x:c>
      <x:c r="AU10" s="86" t="n">
        <x:f>'Revenue model'!AU36</x:f>
        <x:v>343750</x:v>
      </x:c>
      <x:c r="AV10" s="86" t="n">
        <x:f>'Revenue model'!AV36</x:f>
        <x:v>406250</x:v>
      </x:c>
      <x:c r="AW10" s="86" t="n">
        <x:f>'Revenue model'!AW36</x:f>
        <x:v>468750</x:v>
      </x:c>
      <x:c r="AX10" s="86" t="n">
        <x:f>'Revenue model'!AX36</x:f>
        <x:v>531250</x:v>
      </x:c>
      <x:c r="AY10" s="86" t="n">
        <x:f>'Revenue model'!AY36</x:f>
        <x:v>593750</x:v>
      </x:c>
      <x:c r="AZ10" s="86" t="n">
        <x:f>'Revenue model'!AZ36</x:f>
        <x:v>656250</x:v>
      </x:c>
      <x:c r="BA10" s="86" t="n">
        <x:f>'Revenue model'!BA36</x:f>
        <x:v>718750</x:v>
      </x:c>
      <x:c r="BB10" s="86" t="n">
        <x:f>'Revenue model'!BB36</x:f>
        <x:v>781250</x:v>
      </x:c>
      <x:c r="BC10" s="86" t="n">
        <x:f>'Revenue model'!BC36</x:f>
        <x:v>843750</x:v>
      </x:c>
      <x:c r="BD10" s="86" t="n">
        <x:f>'Revenue model'!BD36</x:f>
        <x:v>906250</x:v>
      </x:c>
      <x:c r="BE10" s="86" t="n">
        <x:f>'Revenue model'!BE36</x:f>
        <x:v>968750</x:v>
      </x:c>
      <x:c r="BF10" s="86" t="n">
        <x:f>'Revenue model'!BF36</x:f>
        <x:v>1097222.2222222222</x:v>
      </x:c>
      <x:c r="BG10" s="86" t="n">
        <x:f>'Revenue model'!BG36</x:f>
        <x:v>1291666.6666666667</x:v>
      </x:c>
      <x:c r="BH10" s="86" t="n">
        <x:f>'Revenue model'!BH36</x:f>
        <x:v>1486111.1111111112</x:v>
      </x:c>
      <x:c r="BI10" s="86" t="n">
        <x:f>'Revenue model'!BI36</x:f>
        <x:v>1680555.5555555557</x:v>
      </x:c>
      <x:c r="BJ10" s="86" t="n">
        <x:f>'Revenue model'!BJ36</x:f>
        <x:v>1875000</x:v>
      </x:c>
      <x:c r="BK10" s="86" t="n">
        <x:f>'Revenue model'!BK36</x:f>
        <x:v>2069444.4444444443</x:v>
      </x:c>
      <x:c r="BL10" s="86" t="n">
        <x:f>'Revenue model'!BL36</x:f>
        <x:v>2263888.8888888885</x:v>
      </x:c>
      <x:c r="BM10" s="86" t="n">
        <x:f>'Revenue model'!BM36</x:f>
        <x:v>2458333.333333333</x:v>
      </x:c>
      <x:c r="BN10" s="86" t="n">
        <x:f>'Revenue model'!BN36</x:f>
        <x:v>2652777.7777777775</x:v>
      </x:c>
      <x:c r="BO10" s="86" t="n">
        <x:f>'Revenue model'!BO36</x:f>
        <x:v>2847222.222222222</x:v>
      </x:c>
      <x:c r="BP10" s="86" t="n">
        <x:f>'Revenue model'!BP36</x:f>
        <x:v>3041666.666666666</x:v>
      </x:c>
      <x:c r="BQ10" s="86" t="n">
        <x:f>'Revenue model'!BQ36</x:f>
        <x:v>3236111.1111111105</x:v>
      </x:c>
    </x:row>
    <x:row r="11" ht="23" customHeight="1">
      <x:c r="A11" s="2"/>
      <x:c r="B11" s="2"/>
      <x:c r="C11" s="2" t="str">
        <x:v>Business revenue</x:v>
      </x:c>
      <x:c r="D11" s="79" t="n">
        <x:f>IF(COUNT(J11:U11)=12,SUM(J11:U11),"n.a.")</x:f>
        <x:v>0</x:v>
      </x:c>
      <x:c r="E11" s="79" t="n">
        <x:f>IF(COUNT(V11:AG11)=12,SUM(V11:AG11),"n.a.")</x:f>
        <x:v>0</x:v>
      </x:c>
      <x:c r="F11" s="79" t="n">
        <x:f>IF(COUNT(AH11:AS11)=12,SUM(AH11:AS11),"n.a.")</x:f>
        <x:v>500000</x:v>
      </x:c>
      <x:c r="G11" s="79" t="n">
        <x:f>IF(COUNT(AT11:BE11)=12,SUM(AT11:BE11),"n.a.")</x:f>
        <x:v>3500000</x:v>
      </x:c>
      <x:c r="H11" s="79" t="n">
        <x:f>IF(COUNT(BF11:BQ11)=12,SUM(BF11:BQ11),"n.a.")</x:f>
        <x:v>10999999.999999996</x:v>
      </x:c>
      <x:c r="I11" s="86" t="n">
        <x:f>'Revenue model'!I44</x:f>
        <x:v>0</x:v>
      </x:c>
      <x:c r="J11" s="86" t="n">
        <x:f>'Revenue model'!J44</x:f>
        <x:v>0</x:v>
      </x:c>
      <x:c r="K11" s="86" t="n">
        <x:f>'Revenue model'!K44</x:f>
        <x:v>0</x:v>
      </x:c>
      <x:c r="L11" s="86" t="n">
        <x:f>'Revenue model'!L44</x:f>
        <x:v>0</x:v>
      </x:c>
      <x:c r="M11" s="86" t="n">
        <x:f>'Revenue model'!M44</x:f>
        <x:v>0</x:v>
      </x:c>
      <x:c r="N11" s="86" t="n">
        <x:f>'Revenue model'!N44</x:f>
        <x:v>0</x:v>
      </x:c>
      <x:c r="O11" s="86" t="n">
        <x:f>'Revenue model'!O44</x:f>
        <x:v>0</x:v>
      </x:c>
      <x:c r="P11" s="86" t="n">
        <x:f>'Revenue model'!P44</x:f>
        <x:v>0</x:v>
      </x:c>
      <x:c r="Q11" s="86" t="n">
        <x:f>'Revenue model'!Q44</x:f>
        <x:v>0</x:v>
      </x:c>
      <x:c r="R11" s="86" t="n">
        <x:f>'Revenue model'!R44</x:f>
        <x:v>0</x:v>
      </x:c>
      <x:c r="S11" s="86" t="n">
        <x:f>'Revenue model'!S44</x:f>
        <x:v>0</x:v>
      </x:c>
      <x:c r="T11" s="86" t="n">
        <x:f>'Revenue model'!T44</x:f>
        <x:v>0</x:v>
      </x:c>
      <x:c r="U11" s="86" t="n">
        <x:f>'Revenue model'!U44</x:f>
        <x:v>0</x:v>
      </x:c>
      <x:c r="V11" s="86" t="n">
        <x:f>'Revenue model'!V44</x:f>
        <x:v>0</x:v>
      </x:c>
      <x:c r="W11" s="86" t="n">
        <x:f>'Revenue model'!W44</x:f>
        <x:v>0</x:v>
      </x:c>
      <x:c r="X11" s="86" t="n">
        <x:f>'Revenue model'!X44</x:f>
        <x:v>0</x:v>
      </x:c>
      <x:c r="Y11" s="86" t="n">
        <x:f>'Revenue model'!Y44</x:f>
        <x:v>0</x:v>
      </x:c>
      <x:c r="Z11" s="86" t="n">
        <x:f>'Revenue model'!Z44</x:f>
        <x:v>0</x:v>
      </x:c>
      <x:c r="AA11" s="86" t="n">
        <x:f>'Revenue model'!AA44</x:f>
        <x:v>0</x:v>
      </x:c>
      <x:c r="AB11" s="86" t="n">
        <x:f>'Revenue model'!AB44</x:f>
        <x:v>0</x:v>
      </x:c>
      <x:c r="AC11" s="86" t="n">
        <x:f>'Revenue model'!AC44</x:f>
        <x:v>0</x:v>
      </x:c>
      <x:c r="AD11" s="86" t="n">
        <x:f>'Revenue model'!AD44</x:f>
        <x:v>0</x:v>
      </x:c>
      <x:c r="AE11" s="86" t="n">
        <x:f>'Revenue model'!AE44</x:f>
        <x:v>0</x:v>
      </x:c>
      <x:c r="AF11" s="86" t="n">
        <x:f>'Revenue model'!AF44</x:f>
        <x:v>0</x:v>
      </x:c>
      <x:c r="AG11" s="86" t="n">
        <x:f>'Revenue model'!AG44</x:f>
        <x:v>0</x:v>
      </x:c>
      <x:c r="AH11" s="86" t="n">
        <x:f>'Revenue model'!AH44</x:f>
        <x:v>3472.2222222222226</x:v>
      </x:c>
      <x:c r="AI11" s="86" t="n">
        <x:f>'Revenue model'!AI44</x:f>
        <x:v>10416.666666666666</x:v>
      </x:c>
      <x:c r="AJ11" s="86" t="n">
        <x:f>'Revenue model'!AJ44</x:f>
        <x:v>17361.111111111113</x:v>
      </x:c>
      <x:c r="AK11" s="86" t="n">
        <x:f>'Revenue model'!AK44</x:f>
        <x:v>24305.55555555555</x:v>
      </x:c>
      <x:c r="AL11" s="86" t="n">
        <x:f>'Revenue model'!AL44</x:f>
        <x:v>31250</x:v>
      </x:c>
      <x:c r="AM11" s="86" t="n">
        <x:f>'Revenue model'!AM44</x:f>
        <x:v>38194.444444444445</x:v>
      </x:c>
      <x:c r="AN11" s="86" t="n">
        <x:f>'Revenue model'!AN44</x:f>
        <x:v>45138.8888888889</x:v>
      </x:c>
      <x:c r="AO11" s="86" t="n">
        <x:f>'Revenue model'!AO44</x:f>
        <x:v>52083.333333333336</x:v>
      </x:c>
      <x:c r="AP11" s="86" t="n">
        <x:f>'Revenue model'!AP44</x:f>
        <x:v>59027.777777777774</x:v>
      </x:c>
      <x:c r="AQ11" s="86" t="n">
        <x:f>'Revenue model'!AQ44</x:f>
        <x:v>65972.22222222222</x:v>
      </x:c>
      <x:c r="AR11" s="86" t="n">
        <x:f>'Revenue model'!AR44</x:f>
        <x:v>72916.66666666664</x:v>
      </x:c>
      <x:c r="AS11" s="86" t="n">
        <x:f>'Revenue model'!AS44</x:f>
        <x:v>79861.11111111111</x:v>
      </x:c>
      <x:c r="AT11" s="86" t="n">
        <x:f>'Revenue model'!AT44</x:f>
        <x:v>100694.44444444445</x:v>
      </x:c>
      <x:c r="AU11" s="86" t="n">
        <x:f>'Revenue model'!AU44</x:f>
        <x:v>135416.66666666666</x:v>
      </x:c>
      <x:c r="AV11" s="86" t="n">
        <x:f>'Revenue model'!AV44</x:f>
        <x:v>170138.8888888889</x:v>
      </x:c>
      <x:c r="AW11" s="86" t="n">
        <x:f>'Revenue model'!AW44</x:f>
        <x:v>204861.11111111112</x:v>
      </x:c>
      <x:c r="AX11" s="86" t="n">
        <x:f>'Revenue model'!AX44</x:f>
        <x:v>239583.33333333337</x:v>
      </x:c>
      <x:c r="AY11" s="86" t="n">
        <x:f>'Revenue model'!AY44</x:f>
        <x:v>274305.55555555556</x:v>
      </x:c>
      <x:c r="AZ11" s="86" t="n">
        <x:f>'Revenue model'!AZ44</x:f>
        <x:v>309027.77777777787</x:v>
      </x:c>
      <x:c r="BA11" s="86" t="n">
        <x:f>'Revenue model'!BA44</x:f>
        <x:v>343750.00000000006</x:v>
      </x:c>
      <x:c r="BB11" s="86" t="n">
        <x:f>'Revenue model'!BB44</x:f>
        <x:v>378472.22222222225</x:v>
      </x:c>
      <x:c r="BC11" s="86" t="n">
        <x:f>'Revenue model'!BC44</x:f>
        <x:v>413194.4444444445</x:v>
      </x:c>
      <x:c r="BD11" s="86" t="n">
        <x:f>'Revenue model'!BD44</x:f>
        <x:v>447916.6666666667</x:v>
      </x:c>
      <x:c r="BE11" s="86" t="n">
        <x:f>'Revenue model'!BE44</x:f>
        <x:v>482638.8888888888</x:v>
      </x:c>
      <x:c r="BF11" s="86" t="n">
        <x:f>'Revenue model'!BF44</x:f>
        <x:v>534722.2222222221</x:v>
      </x:c>
      <x:c r="BG11" s="86" t="n">
        <x:f>'Revenue model'!BG44</x:f>
        <x:v>604166.6666666666</x:v>
      </x:c>
      <x:c r="BH11" s="86" t="n">
        <x:f>'Revenue model'!BH44</x:f>
        <x:v>673611.1111111111</x:v>
      </x:c>
      <x:c r="BI11" s="86" t="n">
        <x:f>'Revenue model'!BI44</x:f>
        <x:v>743055.5555555555</x:v>
      </x:c>
      <x:c r="BJ11" s="86" t="n">
        <x:f>'Revenue model'!BJ44</x:f>
        <x:v>812499.9999999999</x:v>
      </x:c>
      <x:c r="BK11" s="86" t="n">
        <x:f>'Revenue model'!BK44</x:f>
        <x:v>881944.4444444444</x:v>
      </x:c>
      <x:c r="BL11" s="86" t="n">
        <x:f>'Revenue model'!BL44</x:f>
        <x:v>951388.8888888886</x:v>
      </x:c>
      <x:c r="BM11" s="86" t="n">
        <x:f>'Revenue model'!BM44</x:f>
        <x:v>1020833.333333333</x:v>
      </x:c>
      <x:c r="BN11" s="86" t="n">
        <x:f>'Revenue model'!BN44</x:f>
        <x:v>1090277.7777777773</x:v>
      </x:c>
      <x:c r="BO11" s="86" t="n">
        <x:f>'Revenue model'!BO44</x:f>
        <x:v>1159722.2222222218</x:v>
      </x:c>
      <x:c r="BP11" s="86" t="n">
        <x:f>'Revenue model'!BP44</x:f>
        <x:v>1229166.6666666663</x:v>
      </x:c>
      <x:c r="BQ11" s="86" t="n">
        <x:f>'Revenue model'!BQ44</x:f>
        <x:v>1298611.111111111</x:v>
      </x:c>
    </x:row>
    <x:row r="12" ht="25" customHeight="1">
      <x:c r="A12" s="2"/>
      <x:c r="B12" s="2"/>
      <x:c r="C12" s="84" t="str">
        <x:v>Total revenue</x:v>
      </x:c>
      <x:c r="D12" s="85" t="n">
        <x:f>IF(COUNT(J12:U12)=12,SUM(J12:U12),"n.a.")</x:f>
        <x:v>3135000</x:v>
      </x:c>
      <x:c r="E12" s="85" t="n">
        <x:f>IF(COUNT(V12:AG12)=12,SUM(V12:AG12),"n.a.")</x:f>
        <x:v>7874999.999999998</x:v>
      </x:c>
      <x:c r="F12" s="85" t="n">
        <x:f>IF(COUNT(AH12:AS12)=12,SUM(AH12:AS12),"n.a.")</x:f>
        <x:v>24889999.999999996</x:v>
      </x:c>
      <x:c r="G12" s="85" t="n">
        <x:f>IF(COUNT(AT12:BE12)=12,SUM(AT12:BE12),"n.a.")</x:f>
        <x:v>63050000</x:v>
      </x:c>
      <x:c r="H12" s="85" t="n">
        <x:f>IF(COUNT(BF12:BQ12)=12,SUM(BF12:BQ12),"n.a.")</x:f>
        <x:v>138100000</x:v>
      </x:c>
      <x:c r="I12" s="85" t="n">
        <x:f>IF(COUNT(I8:I11)=4,SUM(I8:I11),"n.a.")</x:f>
        <x:v>125000</x:v>
      </x:c>
      <x:c r="J12" s="85" t="n">
        <x:f>IF(COUNT(J8:J11)=4,SUM(J8:J11),"n.a.")</x:f>
        <x:v>250937.5</x:v>
      </x:c>
      <x:c r="K12" s="85" t="n">
        <x:f>IF(COUNT(K8:K11)=4,SUM(K8:K11),"n.a.")</x:f>
        <x:v>252812.5</x:v>
      </x:c>
      <x:c r="L12" s="85" t="n">
        <x:f>IF(COUNT(L8:L11)=4,SUM(L8:L11),"n.a.")</x:f>
        <x:v>254687.5</x:v>
      </x:c>
      <x:c r="M12" s="85" t="n">
        <x:f>IF(COUNT(M8:M11)=4,SUM(M8:M11),"n.a.")</x:f>
        <x:v>256562.5</x:v>
      </x:c>
      <x:c r="N12" s="85" t="n">
        <x:f>IF(COUNT(N8:N11)=4,SUM(N8:N11),"n.a.")</x:f>
        <x:v>258437.5</x:v>
      </x:c>
      <x:c r="O12" s="85" t="n">
        <x:f>IF(COUNT(O8:O11)=4,SUM(O8:O11),"n.a.")</x:f>
        <x:v>260312.5</x:v>
      </x:c>
      <x:c r="P12" s="85" t="n">
        <x:f>IF(COUNT(P8:P11)=4,SUM(P8:P11),"n.a.")</x:f>
        <x:v>262187.5</x:v>
      </x:c>
      <x:c r="Q12" s="85" t="n">
        <x:f>IF(COUNT(Q8:Q11)=4,SUM(Q8:Q11),"n.a.")</x:f>
        <x:v>264062.5</x:v>
      </x:c>
      <x:c r="R12" s="85" t="n">
        <x:f>IF(COUNT(R8:R11)=4,SUM(R8:R11),"n.a.")</x:f>
        <x:v>265937.5</x:v>
      </x:c>
      <x:c r="S12" s="85" t="n">
        <x:f>IF(COUNT(S8:S11)=4,SUM(S8:S11),"n.a.")</x:f>
        <x:v>267812.5</x:v>
      </x:c>
      <x:c r="T12" s="85" t="n">
        <x:f>IF(COUNT(T8:T11)=4,SUM(T8:T11),"n.a.")</x:f>
        <x:v>269687.5</x:v>
      </x:c>
      <x:c r="U12" s="85" t="n">
        <x:f>IF(COUNT(U8:U11)=4,SUM(U8:U11),"n.a.")</x:f>
        <x:v>271562.5</x:v>
      </x:c>
      <x:c r="V12" s="85" t="n">
        <x:f>IF(COUNT(V8:V11)=4,SUM(V8:V11),"n.a.")</x:f>
        <x:v>441979.1666666667</x:v>
      </x:c>
      <x:c r="W12" s="85" t="n">
        <x:f>IF(COUNT(W8:W11)=4,SUM(W8:W11),"n.a.")</x:f>
        <x:v>480937.5</x:v>
      </x:c>
      <x:c r="X12" s="85" t="n">
        <x:f>IF(COUNT(X8:X11)=4,SUM(X8:X11),"n.a.")</x:f>
        <x:v>519895.8333333333</x:v>
      </x:c>
      <x:c r="Y12" s="85" t="n">
        <x:f>IF(COUNT(Y8:Y11)=4,SUM(Y8:Y11),"n.a.")</x:f>
        <x:v>558854.1666666666</x:v>
      </x:c>
      <x:c r="Z12" s="85" t="n">
        <x:f>IF(COUNT(Z8:Z11)=4,SUM(Z8:Z11),"n.a.")</x:f>
        <x:v>597812.4999999999</x:v>
      </x:c>
      <x:c r="AA12" s="85" t="n">
        <x:f>IF(COUNT(AA8:AA11)=4,SUM(AA8:AA11),"n.a.")</x:f>
        <x:v>636770.8333333333</x:v>
      </x:c>
      <x:c r="AB12" s="85" t="n">
        <x:f>IF(COUNT(AB8:AB11)=4,SUM(AB8:AB11),"n.a.")</x:f>
        <x:v>675729.1666666665</x:v>
      </x:c>
      <x:c r="AC12" s="85" t="n">
        <x:f>IF(COUNT(AC8:AC11)=4,SUM(AC8:AC11),"n.a.")</x:f>
        <x:v>714687.4999999998</x:v>
      </x:c>
      <x:c r="AD12" s="85" t="n">
        <x:f>IF(COUNT(AD8:AD11)=4,SUM(AD8:AD11),"n.a.")</x:f>
        <x:v>753645.8333333331</x:v>
      </x:c>
      <x:c r="AE12" s="85" t="n">
        <x:f>IF(COUNT(AE8:AE11)=4,SUM(AE8:AE11),"n.a.")</x:f>
        <x:v>792604.1666666664</x:v>
      </x:c>
      <x:c r="AF12" s="85" t="n">
        <x:f>IF(COUNT(AF8:AF11)=4,SUM(AF8:AF11),"n.a.")</x:f>
        <x:v>831562.4999999998</x:v>
      </x:c>
      <x:c r="AG12" s="85" t="n">
        <x:f>IF(COUNT(AG8:AG11)=4,SUM(AG8:AG11),"n.a.")</x:f>
        <x:v>870520.833333333</x:v>
      </x:c>
      <x:c r="AH12" s="85" t="n">
        <x:f>IF(COUNT(AH8:AH11)=4,SUM(AH8:AH11),"n.a.")</x:f>
        <x:v>1172013.8888888885</x:v>
      </x:c>
      <x:c r="AI12" s="85" t="n">
        <x:f>IF(COUNT(AI8:AI11)=4,SUM(AI8:AI11),"n.a.")</x:f>
        <x:v>1336041.6666666663</x:v>
      </x:c>
      <x:c r="AJ12" s="85" t="n">
        <x:f>IF(COUNT(AJ8:AJ11)=4,SUM(AJ8:AJ11),"n.a.")</x:f>
        <x:v>1500069.4444444438</x:v>
      </x:c>
      <x:c r="AK12" s="85" t="n">
        <x:f>IF(COUNT(AK8:AK11)=4,SUM(AK8:AK11),"n.a.")</x:f>
        <x:v>1664097.2222222218</x:v>
      </x:c>
      <x:c r="AL12" s="85" t="n">
        <x:f>IF(COUNT(AL8:AL11)=4,SUM(AL8:AL11),"n.a.")</x:f>
        <x:v>1828124.9999999995</x:v>
      </x:c>
      <x:c r="AM12" s="85" t="n">
        <x:f>IF(COUNT(AM8:AM11)=4,SUM(AM8:AM11),"n.a.")</x:f>
        <x:v>1992152.7777777773</x:v>
      </x:c>
      <x:c r="AN12" s="85" t="n">
        <x:f>IF(COUNT(AN8:AN11)=4,SUM(AN8:AN11),"n.a.")</x:f>
        <x:v>2156180.555555555</x:v>
      </x:c>
      <x:c r="AO12" s="85" t="n">
        <x:f>IF(COUNT(AO8:AO11)=4,SUM(AO8:AO11),"n.a.")</x:f>
        <x:v>2320208.333333333</x:v>
      </x:c>
      <x:c r="AP12" s="85" t="n">
        <x:f>IF(COUNT(AP8:AP11)=4,SUM(AP8:AP11),"n.a.")</x:f>
        <x:v>2484236.111111111</x:v>
      </x:c>
      <x:c r="AQ12" s="85" t="n">
        <x:f>IF(COUNT(AQ8:AQ11)=4,SUM(AQ8:AQ11),"n.a.")</x:f>
        <x:v>2648263.888888888</x:v>
      </x:c>
      <x:c r="AR12" s="85" t="n">
        <x:f>IF(COUNT(AR8:AR11)=4,SUM(AR8:AR11),"n.a.")</x:f>
        <x:v>2812291.666666666</x:v>
      </x:c>
      <x:c r="AS12" s="85" t="n">
        <x:f>IF(COUNT(AS8:AS11)=4,SUM(AS8:AS11),"n.a.")</x:f>
        <x:v>2976319.444444444</x:v>
      </x:c>
      <x:c r="AT12" s="85" t="n">
        <x:f>IF(COUNT(AT8:AT11)=4,SUM(AT8:AT11),"n.a.")</x:f>
        <x:v>3241319.444444444</x:v>
      </x:c>
      <x:c r="AU12" s="85" t="n">
        <x:f>IF(COUNT(AU8:AU11)=4,SUM(AU8:AU11),"n.a.")</x:f>
        <x:v>3607291.666666666</x:v>
      </x:c>
      <x:c r="AV12" s="85" t="n">
        <x:f>IF(COUNT(AV8:AV11)=4,SUM(AV8:AV11),"n.a.")</x:f>
        <x:v>3973263.8888888885</x:v>
      </x:c>
      <x:c r="AW12" s="85" t="n">
        <x:f>IF(COUNT(AW8:AW11)=4,SUM(AW8:AW11),"n.a.")</x:f>
        <x:v>4339236.111111111</x:v>
      </x:c>
      <x:c r="AX12" s="85" t="n">
        <x:f>IF(COUNT(AX8:AX11)=4,SUM(AX8:AX11),"n.a.")</x:f>
        <x:v>4705208.333333333</x:v>
      </x:c>
      <x:c r="AY12" s="85" t="n">
        <x:f>IF(COUNT(AY8:AY11)=4,SUM(AY8:AY11),"n.a.")</x:f>
        <x:v>5071180.555555556</x:v>
      </x:c>
      <x:c r="AZ12" s="85" t="n">
        <x:f>IF(COUNT(AZ8:AZ11)=4,SUM(AZ8:AZ11),"n.a.")</x:f>
        <x:v>5437152.777777778</x:v>
      </x:c>
      <x:c r="BA12" s="85" t="n">
        <x:f>IF(COUNT(BA8:BA11)=4,SUM(BA8:BA11),"n.a.")</x:f>
        <x:v>5803125</x:v>
      </x:c>
      <x:c r="BB12" s="85" t="n">
        <x:f>IF(COUNT(BB8:BB11)=4,SUM(BB8:BB11),"n.a.")</x:f>
        <x:v>6169097.222222222</x:v>
      </x:c>
      <x:c r="BC12" s="85" t="n">
        <x:f>IF(COUNT(BC8:BC11)=4,SUM(BC8:BC11),"n.a.")</x:f>
        <x:v>6535069.444444444</x:v>
      </x:c>
      <x:c r="BD12" s="85" t="n">
        <x:f>IF(COUNT(BD8:BD11)=4,SUM(BD8:BD11),"n.a.")</x:f>
        <x:v>6901041.666666667</x:v>
      </x:c>
      <x:c r="BE12" s="85" t="n">
        <x:f>IF(COUNT(BE8:BE11)=4,SUM(BE8:BE11),"n.a.")</x:f>
        <x:v>7267013.888888889</x:v>
      </x:c>
      <x:c r="BF12" s="85" t="n">
        <x:f>IF(COUNT(BF8:BF11)=4,SUM(BF8:BF11),"n.a.")</x:f>
        <x:v>7788194.444444444</x:v>
      </x:c>
      <x:c r="BG12" s="85" t="n">
        <x:f>IF(COUNT(BG8:BG11)=4,SUM(BG8:BG11),"n.a.")</x:f>
        <x:v>8464583.333333334</x:v>
      </x:c>
      <x:c r="BH12" s="85" t="n">
        <x:f>IF(COUNT(BH8:BH11)=4,SUM(BH8:BH11),"n.a.")</x:f>
        <x:v>9140972.222222224</x:v>
      </x:c>
      <x:c r="BI12" s="85" t="n">
        <x:f>IF(COUNT(BI8:BI11)=4,SUM(BI8:BI11),"n.a.")</x:f>
        <x:v>9817361.111111112</x:v>
      </x:c>
      <x:c r="BJ12" s="85" t="n">
        <x:f>IF(COUNT(BJ8:BJ11)=4,SUM(BJ8:BJ11),"n.a.")</x:f>
        <x:v>10493750</x:v>
      </x:c>
      <x:c r="BK12" s="85" t="n">
        <x:f>IF(COUNT(BK8:BK11)=4,SUM(BK8:BK11),"n.a.")</x:f>
        <x:v>11170138.888888888</x:v>
      </x:c>
      <x:c r="BL12" s="85" t="n">
        <x:f>IF(COUNT(BL8:BL11)=4,SUM(BL8:BL11),"n.a.")</x:f>
        <x:v>11846527.777777776</x:v>
      </x:c>
      <x:c r="BM12" s="85" t="n">
        <x:f>IF(COUNT(BM8:BM11)=4,SUM(BM8:BM11),"n.a.")</x:f>
        <x:v>12522916.666666664</x:v>
      </x:c>
      <x:c r="BN12" s="85" t="n">
        <x:f>IF(COUNT(BN8:BN11)=4,SUM(BN8:BN11),"n.a.")</x:f>
        <x:v>13199305.555555556</x:v>
      </x:c>
      <x:c r="BO12" s="85" t="n">
        <x:f>IF(COUNT(BO8:BO11)=4,SUM(BO8:BO11),"n.a.")</x:f>
        <x:v>13875694.444444444</x:v>
      </x:c>
      <x:c r="BP12" s="85" t="n">
        <x:f>IF(COUNT(BP8:BP11)=4,SUM(BP8:BP11),"n.a.")</x:f>
        <x:v>14552083.333333332</x:v>
      </x:c>
      <x:c r="BQ12" s="85" t="n">
        <x:f>IF(COUNT(BQ8:BQ11)=4,SUM(BQ8:BQ11),"n.a.")</x:f>
        <x:v>15228472.22222222</x:v>
      </x:c>
    </x:row>
    <x:row r="13" ht="23" customHeight="1">
      <x:c r="A13" s="2"/>
      <x:c r="B13" s="2"/>
      <x:c r="C13" s="2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  <x:c r="AP13" s="4"/>
      <x:c r="AQ13" s="4"/>
      <x:c r="AR13" s="4"/>
      <x:c r="AS13" s="4"/>
      <x:c r="AT13" s="4"/>
      <x:c r="AU13" s="4"/>
      <x:c r="AV13" s="4"/>
      <x:c r="AW13" s="4"/>
      <x:c r="AX13" s="4"/>
      <x:c r="AY13" s="4"/>
      <x:c r="AZ13" s="4"/>
      <x:c r="BA13" s="4"/>
      <x:c r="BB13" s="4"/>
      <x:c r="BC13" s="4"/>
      <x:c r="BD13" s="4"/>
      <x:c r="BE13" s="4"/>
      <x:c r="BF13" s="4"/>
      <x:c r="BG13" s="4"/>
      <x:c r="BH13" s="4"/>
      <x:c r="BI13" s="4"/>
      <x:c r="BJ13" s="4"/>
      <x:c r="BK13" s="4"/>
      <x:c r="BL13" s="4"/>
      <x:c r="BM13" s="4"/>
      <x:c r="BN13" s="4"/>
      <x:c r="BO13" s="4"/>
      <x:c r="BP13" s="4"/>
      <x:c r="BQ13" s="4"/>
    </x:row>
    <x:row r="14" ht="23" customHeight="1">
      <x:c r="A14" s="2"/>
      <x:c r="B14" s="2"/>
      <x:c r="C14" s="2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  <x:c r="AP14" s="4"/>
      <x:c r="AQ14" s="4"/>
      <x:c r="AR14" s="4"/>
      <x:c r="AS14" s="4"/>
      <x:c r="AT14" s="4"/>
      <x:c r="AU14" s="4"/>
      <x:c r="AV14" s="4"/>
      <x:c r="AW14" s="4"/>
      <x:c r="AX14" s="4"/>
      <x:c r="AY14" s="4"/>
      <x:c r="AZ14" s="4"/>
      <x:c r="BA14" s="4"/>
      <x:c r="BB14" s="4"/>
      <x:c r="BC14" s="4"/>
      <x:c r="BD14" s="4"/>
      <x:c r="BE14" s="4"/>
      <x:c r="BF14" s="4"/>
      <x:c r="BG14" s="4"/>
      <x:c r="BH14" s="4"/>
      <x:c r="BI14" s="4"/>
      <x:c r="BJ14" s="4"/>
      <x:c r="BK14" s="4"/>
      <x:c r="BL14" s="4"/>
      <x:c r="BM14" s="4"/>
      <x:c r="BN14" s="4"/>
      <x:c r="BO14" s="4"/>
      <x:c r="BP14" s="4"/>
      <x:c r="BQ14" s="4"/>
    </x:row>
    <x:row r="15" ht="23" customHeight="1">
      <x:c r="A15" s="2"/>
      <x:c r="B15" s="2"/>
      <x:c r="C15" s="2" t="str">
        <x:v>App delivery costs</x:v>
      </x:c>
      <x:c r="D15" s="79" t="str">
        <x:f>IF(COUNT(J15:U15)=12,SUM(J15:U15),"n.a.")</x:f>
        <x:v>n.a.</x:v>
      </x:c>
      <x:c r="E15" s="79" t="str">
        <x:f>IF(COUNT(V15:AG15)=12,SUM(V15:AG15),"n.a.")</x:f>
        <x:v>n.a.</x:v>
      </x:c>
      <x:c r="F15" s="79" t="str">
        <x:f>IF(COUNT(AH15:AS15)=12,SUM(AH15:AS15),"n.a.")</x:f>
        <x:v>n.a.</x:v>
      </x:c>
      <x:c r="G15" s="79" t="str">
        <x:f>IF(COUNT(AT15:BE15)=12,SUM(AT15:BE15),"n.a.")</x:f>
        <x:v>n.a.</x:v>
      </x:c>
      <x:c r="H15" s="79" t="str">
        <x:f>IF(COUNT(BF15:BQ15)=12,SUM(BF15:BQ15),"n.a.")</x:f>
        <x:v>n.a.</x:v>
      </x:c>
      <x:c r="I15" s="86" t="str">
        <x:f>IF(ISNUMBER('Assumptions'!D30),'Assumptions'!D30*'Revenue model'!I15,"n.a.")</x:f>
        <x:v>n.a.</x:v>
      </x:c>
      <x:c r="J15" s="86" t="str">
        <x:f>IF(ISNUMBER('Assumptions'!D30),'Assumptions'!D30*'Revenue model'!J15,"n.a.")</x:f>
        <x:v>n.a.</x:v>
      </x:c>
      <x:c r="K15" s="86" t="str">
        <x:f>IF(ISNUMBER('Assumptions'!D30),'Assumptions'!D30*'Revenue model'!K15,"n.a.")</x:f>
        <x:v>n.a.</x:v>
      </x:c>
      <x:c r="L15" s="86" t="str">
        <x:f>IF(ISNUMBER('Assumptions'!D30),'Assumptions'!D30*'Revenue model'!L15,"n.a.")</x:f>
        <x:v>n.a.</x:v>
      </x:c>
      <x:c r="M15" s="86" t="str">
        <x:f>IF(ISNUMBER('Assumptions'!D30),'Assumptions'!D30*'Revenue model'!M15,"n.a.")</x:f>
        <x:v>n.a.</x:v>
      </x:c>
      <x:c r="N15" s="86" t="str">
        <x:f>IF(ISNUMBER('Assumptions'!D30),'Assumptions'!D30*'Revenue model'!N15,"n.a.")</x:f>
        <x:v>n.a.</x:v>
      </x:c>
      <x:c r="O15" s="86" t="str">
        <x:f>IF(ISNUMBER('Assumptions'!D30),'Assumptions'!D30*'Revenue model'!O15,"n.a.")</x:f>
        <x:v>n.a.</x:v>
      </x:c>
      <x:c r="P15" s="86" t="str">
        <x:f>IF(ISNUMBER('Assumptions'!D30),'Assumptions'!D30*'Revenue model'!P15,"n.a.")</x:f>
        <x:v>n.a.</x:v>
      </x:c>
      <x:c r="Q15" s="86" t="str">
        <x:f>IF(ISNUMBER('Assumptions'!D30),'Assumptions'!D30*'Revenue model'!Q15,"n.a.")</x:f>
        <x:v>n.a.</x:v>
      </x:c>
      <x:c r="R15" s="86" t="str">
        <x:f>IF(ISNUMBER('Assumptions'!D30),'Assumptions'!D30*'Revenue model'!R15,"n.a.")</x:f>
        <x:v>n.a.</x:v>
      </x:c>
      <x:c r="S15" s="86" t="str">
        <x:f>IF(ISNUMBER('Assumptions'!D30),'Assumptions'!D30*'Revenue model'!S15,"n.a.")</x:f>
        <x:v>n.a.</x:v>
      </x:c>
      <x:c r="T15" s="86" t="str">
        <x:f>IF(ISNUMBER('Assumptions'!D30),'Assumptions'!D30*'Revenue model'!T15,"n.a.")</x:f>
        <x:v>n.a.</x:v>
      </x:c>
      <x:c r="U15" s="86" t="str">
        <x:f>IF(ISNUMBER('Assumptions'!D30),'Assumptions'!D30*'Revenue model'!U15,"n.a.")</x:f>
        <x:v>n.a.</x:v>
      </x:c>
      <x:c r="V15" s="86" t="str">
        <x:f>IF(ISNUMBER('Assumptions'!E30),'Assumptions'!E30*'Revenue model'!V15,"n.a.")</x:f>
        <x:v>n.a.</x:v>
      </x:c>
      <x:c r="W15" s="86" t="str">
        <x:f>IF(ISNUMBER('Assumptions'!E30),'Assumptions'!E30*'Revenue model'!W15,"n.a.")</x:f>
        <x:v>n.a.</x:v>
      </x:c>
      <x:c r="X15" s="86" t="str">
        <x:f>IF(ISNUMBER('Assumptions'!E30),'Assumptions'!E30*'Revenue model'!X15,"n.a.")</x:f>
        <x:v>n.a.</x:v>
      </x:c>
      <x:c r="Y15" s="86" t="str">
        <x:f>IF(ISNUMBER('Assumptions'!E30),'Assumptions'!E30*'Revenue model'!Y15,"n.a.")</x:f>
        <x:v>n.a.</x:v>
      </x:c>
      <x:c r="Z15" s="86" t="str">
        <x:f>IF(ISNUMBER('Assumptions'!E30),'Assumptions'!E30*'Revenue model'!Z15,"n.a.")</x:f>
        <x:v>n.a.</x:v>
      </x:c>
      <x:c r="AA15" s="86" t="str">
        <x:f>IF(ISNUMBER('Assumptions'!E30),'Assumptions'!E30*'Revenue model'!AA15,"n.a.")</x:f>
        <x:v>n.a.</x:v>
      </x:c>
      <x:c r="AB15" s="86" t="str">
        <x:f>IF(ISNUMBER('Assumptions'!E30),'Assumptions'!E30*'Revenue model'!AB15,"n.a.")</x:f>
        <x:v>n.a.</x:v>
      </x:c>
      <x:c r="AC15" s="86" t="str">
        <x:f>IF(ISNUMBER('Assumptions'!E30),'Assumptions'!E30*'Revenue model'!AC15,"n.a.")</x:f>
        <x:v>n.a.</x:v>
      </x:c>
      <x:c r="AD15" s="86" t="str">
        <x:f>IF(ISNUMBER('Assumptions'!E30),'Assumptions'!E30*'Revenue model'!AD15,"n.a.")</x:f>
        <x:v>n.a.</x:v>
      </x:c>
      <x:c r="AE15" s="86" t="str">
        <x:f>IF(ISNUMBER('Assumptions'!E30),'Assumptions'!E30*'Revenue model'!AE15,"n.a.")</x:f>
        <x:v>n.a.</x:v>
      </x:c>
      <x:c r="AF15" s="86" t="str">
        <x:f>IF(ISNUMBER('Assumptions'!E30),'Assumptions'!E30*'Revenue model'!AF15,"n.a.")</x:f>
        <x:v>n.a.</x:v>
      </x:c>
      <x:c r="AG15" s="86" t="str">
        <x:f>IF(ISNUMBER('Assumptions'!E30),'Assumptions'!E30*'Revenue model'!AG15,"n.a.")</x:f>
        <x:v>n.a.</x:v>
      </x:c>
      <x:c r="AH15" s="86" t="str">
        <x:f>IF(ISNUMBER('Assumptions'!F30),'Assumptions'!F30*'Revenue model'!AH15,"n.a.")</x:f>
        <x:v>n.a.</x:v>
      </x:c>
      <x:c r="AI15" s="86" t="str">
        <x:f>IF(ISNUMBER('Assumptions'!F30),'Assumptions'!F30*'Revenue model'!AI15,"n.a.")</x:f>
        <x:v>n.a.</x:v>
      </x:c>
      <x:c r="AJ15" s="86" t="str">
        <x:f>IF(ISNUMBER('Assumptions'!F30),'Assumptions'!F30*'Revenue model'!AJ15,"n.a.")</x:f>
        <x:v>n.a.</x:v>
      </x:c>
      <x:c r="AK15" s="86" t="str">
        <x:f>IF(ISNUMBER('Assumptions'!F30),'Assumptions'!F30*'Revenue model'!AK15,"n.a.")</x:f>
        <x:v>n.a.</x:v>
      </x:c>
      <x:c r="AL15" s="86" t="str">
        <x:f>IF(ISNUMBER('Assumptions'!F30),'Assumptions'!F30*'Revenue model'!AL15,"n.a.")</x:f>
        <x:v>n.a.</x:v>
      </x:c>
      <x:c r="AM15" s="86" t="str">
        <x:f>IF(ISNUMBER('Assumptions'!F30),'Assumptions'!F30*'Revenue model'!AM15,"n.a.")</x:f>
        <x:v>n.a.</x:v>
      </x:c>
      <x:c r="AN15" s="86" t="str">
        <x:f>IF(ISNUMBER('Assumptions'!F30),'Assumptions'!F30*'Revenue model'!AN15,"n.a.")</x:f>
        <x:v>n.a.</x:v>
      </x:c>
      <x:c r="AO15" s="86" t="str">
        <x:f>IF(ISNUMBER('Assumptions'!F30),'Assumptions'!F30*'Revenue model'!AO15,"n.a.")</x:f>
        <x:v>n.a.</x:v>
      </x:c>
      <x:c r="AP15" s="86" t="str">
        <x:f>IF(ISNUMBER('Assumptions'!F30),'Assumptions'!F30*'Revenue model'!AP15,"n.a.")</x:f>
        <x:v>n.a.</x:v>
      </x:c>
      <x:c r="AQ15" s="86" t="str">
        <x:f>IF(ISNUMBER('Assumptions'!F30),'Assumptions'!F30*'Revenue model'!AQ15,"n.a.")</x:f>
        <x:v>n.a.</x:v>
      </x:c>
      <x:c r="AR15" s="86" t="str">
        <x:f>IF(ISNUMBER('Assumptions'!F30),'Assumptions'!F30*'Revenue model'!AR15,"n.a.")</x:f>
        <x:v>n.a.</x:v>
      </x:c>
      <x:c r="AS15" s="86" t="str">
        <x:f>IF(ISNUMBER('Assumptions'!F30),'Assumptions'!F30*'Revenue model'!AS15,"n.a.")</x:f>
        <x:v>n.a.</x:v>
      </x:c>
      <x:c r="AT15" s="86" t="str">
        <x:f>IF(ISNUMBER('Assumptions'!G30),'Assumptions'!G30*'Revenue model'!AT15,"n.a.")</x:f>
        <x:v>n.a.</x:v>
      </x:c>
      <x:c r="AU15" s="86" t="str">
        <x:f>IF(ISNUMBER('Assumptions'!G30),'Assumptions'!G30*'Revenue model'!AU15,"n.a.")</x:f>
        <x:v>n.a.</x:v>
      </x:c>
      <x:c r="AV15" s="86" t="str">
        <x:f>IF(ISNUMBER('Assumptions'!G30),'Assumptions'!G30*'Revenue model'!AV15,"n.a.")</x:f>
        <x:v>n.a.</x:v>
      </x:c>
      <x:c r="AW15" s="86" t="str">
        <x:f>IF(ISNUMBER('Assumptions'!G30),'Assumptions'!G30*'Revenue model'!AW15,"n.a.")</x:f>
        <x:v>n.a.</x:v>
      </x:c>
      <x:c r="AX15" s="86" t="str">
        <x:f>IF(ISNUMBER('Assumptions'!G30),'Assumptions'!G30*'Revenue model'!AX15,"n.a.")</x:f>
        <x:v>n.a.</x:v>
      </x:c>
      <x:c r="AY15" s="86" t="str">
        <x:f>IF(ISNUMBER('Assumptions'!G30),'Assumptions'!G30*'Revenue model'!AY15,"n.a.")</x:f>
        <x:v>n.a.</x:v>
      </x:c>
      <x:c r="AZ15" s="86" t="str">
        <x:f>IF(ISNUMBER('Assumptions'!G30),'Assumptions'!G30*'Revenue model'!AZ15,"n.a.")</x:f>
        <x:v>n.a.</x:v>
      </x:c>
      <x:c r="BA15" s="86" t="str">
        <x:f>IF(ISNUMBER('Assumptions'!G30),'Assumptions'!G30*'Revenue model'!BA15,"n.a.")</x:f>
        <x:v>n.a.</x:v>
      </x:c>
      <x:c r="BB15" s="86" t="str">
        <x:f>IF(ISNUMBER('Assumptions'!G30),'Assumptions'!G30*'Revenue model'!BB15,"n.a.")</x:f>
        <x:v>n.a.</x:v>
      </x:c>
      <x:c r="BC15" s="86" t="str">
        <x:f>IF(ISNUMBER('Assumptions'!G30),'Assumptions'!G30*'Revenue model'!BC15,"n.a.")</x:f>
        <x:v>n.a.</x:v>
      </x:c>
      <x:c r="BD15" s="86" t="str">
        <x:f>IF(ISNUMBER('Assumptions'!G30),'Assumptions'!G30*'Revenue model'!BD15,"n.a.")</x:f>
        <x:v>n.a.</x:v>
      </x:c>
      <x:c r="BE15" s="86" t="str">
        <x:f>IF(ISNUMBER('Assumptions'!G30),'Assumptions'!G30*'Revenue model'!BE15,"n.a.")</x:f>
        <x:v>n.a.</x:v>
      </x:c>
      <x:c r="BF15" s="86" t="str">
        <x:f>IF(ISNUMBER('Assumptions'!H30),'Assumptions'!H30*'Revenue model'!BF15,"n.a.")</x:f>
        <x:v>n.a.</x:v>
      </x:c>
      <x:c r="BG15" s="86" t="str">
        <x:f>IF(ISNUMBER('Assumptions'!H30),'Assumptions'!H30*'Revenue model'!BG15,"n.a.")</x:f>
        <x:v>n.a.</x:v>
      </x:c>
      <x:c r="BH15" s="86" t="str">
        <x:f>IF(ISNUMBER('Assumptions'!H30),'Assumptions'!H30*'Revenue model'!BH15,"n.a.")</x:f>
        <x:v>n.a.</x:v>
      </x:c>
      <x:c r="BI15" s="86" t="str">
        <x:f>IF(ISNUMBER('Assumptions'!H30),'Assumptions'!H30*'Revenue model'!BI15,"n.a.")</x:f>
        <x:v>n.a.</x:v>
      </x:c>
      <x:c r="BJ15" s="86" t="str">
        <x:f>IF(ISNUMBER('Assumptions'!H30),'Assumptions'!H30*'Revenue model'!BJ15,"n.a.")</x:f>
        <x:v>n.a.</x:v>
      </x:c>
      <x:c r="BK15" s="86" t="str">
        <x:f>IF(ISNUMBER('Assumptions'!H30),'Assumptions'!H30*'Revenue model'!BK15,"n.a.")</x:f>
        <x:v>n.a.</x:v>
      </x:c>
      <x:c r="BL15" s="86" t="str">
        <x:f>IF(ISNUMBER('Assumptions'!H30),'Assumptions'!H30*'Revenue model'!BL15,"n.a.")</x:f>
        <x:v>n.a.</x:v>
      </x:c>
      <x:c r="BM15" s="86" t="str">
        <x:f>IF(ISNUMBER('Assumptions'!H30),'Assumptions'!H30*'Revenue model'!BM15,"n.a.")</x:f>
        <x:v>n.a.</x:v>
      </x:c>
      <x:c r="BN15" s="86" t="str">
        <x:f>IF(ISNUMBER('Assumptions'!H30),'Assumptions'!H30*'Revenue model'!BN15,"n.a.")</x:f>
        <x:v>n.a.</x:v>
      </x:c>
      <x:c r="BO15" s="86" t="str">
        <x:f>IF(ISNUMBER('Assumptions'!H30),'Assumptions'!H30*'Revenue model'!BO15,"n.a.")</x:f>
        <x:v>n.a.</x:v>
      </x:c>
      <x:c r="BP15" s="86" t="str">
        <x:f>IF(ISNUMBER('Assumptions'!H30),'Assumptions'!H30*'Revenue model'!BP15,"n.a.")</x:f>
        <x:v>n.a.</x:v>
      </x:c>
      <x:c r="BQ15" s="86" t="str">
        <x:f>IF(ISNUMBER('Assumptions'!H30),'Assumptions'!H30*'Revenue model'!BQ15,"n.a.")</x:f>
        <x:v>n.a.</x:v>
      </x:c>
    </x:row>
    <x:row r="16" ht="23" customHeight="1">
      <x:c r="A16" s="2"/>
      <x:c r="B16" s="2"/>
      <x:c r="C16" s="2" t="str">
        <x:v>Strategy delivery costs</x:v>
      </x:c>
      <x:c r="D16" s="79" t="str">
        <x:f>IF(COUNT(J16:U16)=12,SUM(J16:U16),"n.a.")</x:f>
        <x:v>n.a.</x:v>
      </x:c>
      <x:c r="E16" s="79" t="str">
        <x:f>IF(COUNT(V16:AG16)=12,SUM(V16:AG16),"n.a.")</x:f>
        <x:v>n.a.</x:v>
      </x:c>
      <x:c r="F16" s="79" t="str">
        <x:f>IF(COUNT(AH16:AS16)=12,SUM(AH16:AS16),"n.a.")</x:f>
        <x:v>n.a.</x:v>
      </x:c>
      <x:c r="G16" s="79" t="str">
        <x:f>IF(COUNT(AT16:BE16)=12,SUM(AT16:BE16),"n.a.")</x:f>
        <x:v>n.a.</x:v>
      </x:c>
      <x:c r="H16" s="79" t="str">
        <x:f>IF(COUNT(BF16:BQ16)=12,SUM(BF16:BQ16),"n.a.")</x:f>
        <x:v>n.a.</x:v>
      </x:c>
      <x:c r="I16" s="86" t="str">
        <x:f>IF(ISNUMBER('Assumptions'!D31),'Assumptions'!D31*'Revenue model'!I26,"n.a.")</x:f>
        <x:v>n.a.</x:v>
      </x:c>
      <x:c r="J16" s="86" t="str">
        <x:f>IF(ISNUMBER('Assumptions'!D31),'Assumptions'!D31*'Revenue model'!J26,"n.a.")</x:f>
        <x:v>n.a.</x:v>
      </x:c>
      <x:c r="K16" s="86" t="str">
        <x:f>IF(ISNUMBER('Assumptions'!D31),'Assumptions'!D31*'Revenue model'!K26,"n.a.")</x:f>
        <x:v>n.a.</x:v>
      </x:c>
      <x:c r="L16" s="86" t="str">
        <x:f>IF(ISNUMBER('Assumptions'!D31),'Assumptions'!D31*'Revenue model'!L26,"n.a.")</x:f>
        <x:v>n.a.</x:v>
      </x:c>
      <x:c r="M16" s="86" t="str">
        <x:f>IF(ISNUMBER('Assumptions'!D31),'Assumptions'!D31*'Revenue model'!M26,"n.a.")</x:f>
        <x:v>n.a.</x:v>
      </x:c>
      <x:c r="N16" s="86" t="str">
        <x:f>IF(ISNUMBER('Assumptions'!D31),'Assumptions'!D31*'Revenue model'!N26,"n.a.")</x:f>
        <x:v>n.a.</x:v>
      </x:c>
      <x:c r="O16" s="86" t="str">
        <x:f>IF(ISNUMBER('Assumptions'!D31),'Assumptions'!D31*'Revenue model'!O26,"n.a.")</x:f>
        <x:v>n.a.</x:v>
      </x:c>
      <x:c r="P16" s="86" t="str">
        <x:f>IF(ISNUMBER('Assumptions'!D31),'Assumptions'!D31*'Revenue model'!P26,"n.a.")</x:f>
        <x:v>n.a.</x:v>
      </x:c>
      <x:c r="Q16" s="86" t="str">
        <x:f>IF(ISNUMBER('Assumptions'!D31),'Assumptions'!D31*'Revenue model'!Q26,"n.a.")</x:f>
        <x:v>n.a.</x:v>
      </x:c>
      <x:c r="R16" s="86" t="str">
        <x:f>IF(ISNUMBER('Assumptions'!D31),'Assumptions'!D31*'Revenue model'!R26,"n.a.")</x:f>
        <x:v>n.a.</x:v>
      </x:c>
      <x:c r="S16" s="86" t="str">
        <x:f>IF(ISNUMBER('Assumptions'!D31),'Assumptions'!D31*'Revenue model'!S26,"n.a.")</x:f>
        <x:v>n.a.</x:v>
      </x:c>
      <x:c r="T16" s="86" t="str">
        <x:f>IF(ISNUMBER('Assumptions'!D31),'Assumptions'!D31*'Revenue model'!T26,"n.a.")</x:f>
        <x:v>n.a.</x:v>
      </x:c>
      <x:c r="U16" s="86" t="str">
        <x:f>IF(ISNUMBER('Assumptions'!D31),'Assumptions'!D31*'Revenue model'!U26,"n.a.")</x:f>
        <x:v>n.a.</x:v>
      </x:c>
      <x:c r="V16" s="86" t="str">
        <x:f>IF(ISNUMBER('Assumptions'!E31),'Assumptions'!E31*'Revenue model'!V26,"n.a.")</x:f>
        <x:v>n.a.</x:v>
      </x:c>
      <x:c r="W16" s="86" t="str">
        <x:f>IF(ISNUMBER('Assumptions'!E31),'Assumptions'!E31*'Revenue model'!W26,"n.a.")</x:f>
        <x:v>n.a.</x:v>
      </x:c>
      <x:c r="X16" s="86" t="str">
        <x:f>IF(ISNUMBER('Assumptions'!E31),'Assumptions'!E31*'Revenue model'!X26,"n.a.")</x:f>
        <x:v>n.a.</x:v>
      </x:c>
      <x:c r="Y16" s="86" t="str">
        <x:f>IF(ISNUMBER('Assumptions'!E31),'Assumptions'!E31*'Revenue model'!Y26,"n.a.")</x:f>
        <x:v>n.a.</x:v>
      </x:c>
      <x:c r="Z16" s="86" t="str">
        <x:f>IF(ISNUMBER('Assumptions'!E31),'Assumptions'!E31*'Revenue model'!Z26,"n.a.")</x:f>
        <x:v>n.a.</x:v>
      </x:c>
      <x:c r="AA16" s="86" t="str">
        <x:f>IF(ISNUMBER('Assumptions'!E31),'Assumptions'!E31*'Revenue model'!AA26,"n.a.")</x:f>
        <x:v>n.a.</x:v>
      </x:c>
      <x:c r="AB16" s="86" t="str">
        <x:f>IF(ISNUMBER('Assumptions'!E31),'Assumptions'!E31*'Revenue model'!AB26,"n.a.")</x:f>
        <x:v>n.a.</x:v>
      </x:c>
      <x:c r="AC16" s="86" t="str">
        <x:f>IF(ISNUMBER('Assumptions'!E31),'Assumptions'!E31*'Revenue model'!AC26,"n.a.")</x:f>
        <x:v>n.a.</x:v>
      </x:c>
      <x:c r="AD16" s="86" t="str">
        <x:f>IF(ISNUMBER('Assumptions'!E31),'Assumptions'!E31*'Revenue model'!AD26,"n.a.")</x:f>
        <x:v>n.a.</x:v>
      </x:c>
      <x:c r="AE16" s="86" t="str">
        <x:f>IF(ISNUMBER('Assumptions'!E31),'Assumptions'!E31*'Revenue model'!AE26,"n.a.")</x:f>
        <x:v>n.a.</x:v>
      </x:c>
      <x:c r="AF16" s="86" t="str">
        <x:f>IF(ISNUMBER('Assumptions'!E31),'Assumptions'!E31*'Revenue model'!AF26,"n.a.")</x:f>
        <x:v>n.a.</x:v>
      </x:c>
      <x:c r="AG16" s="86" t="str">
        <x:f>IF(ISNUMBER('Assumptions'!E31),'Assumptions'!E31*'Revenue model'!AG26,"n.a.")</x:f>
        <x:v>n.a.</x:v>
      </x:c>
      <x:c r="AH16" s="86" t="str">
        <x:f>IF(ISNUMBER('Assumptions'!F31),'Assumptions'!F31*'Revenue model'!AH26,"n.a.")</x:f>
        <x:v>n.a.</x:v>
      </x:c>
      <x:c r="AI16" s="86" t="str">
        <x:f>IF(ISNUMBER('Assumptions'!F31),'Assumptions'!F31*'Revenue model'!AI26,"n.a.")</x:f>
        <x:v>n.a.</x:v>
      </x:c>
      <x:c r="AJ16" s="86" t="str">
        <x:f>IF(ISNUMBER('Assumptions'!F31),'Assumptions'!F31*'Revenue model'!AJ26,"n.a.")</x:f>
        <x:v>n.a.</x:v>
      </x:c>
      <x:c r="AK16" s="86" t="str">
        <x:f>IF(ISNUMBER('Assumptions'!F31),'Assumptions'!F31*'Revenue model'!AK26,"n.a.")</x:f>
        <x:v>n.a.</x:v>
      </x:c>
      <x:c r="AL16" s="86" t="str">
        <x:f>IF(ISNUMBER('Assumptions'!F31),'Assumptions'!F31*'Revenue model'!AL26,"n.a.")</x:f>
        <x:v>n.a.</x:v>
      </x:c>
      <x:c r="AM16" s="86" t="str">
        <x:f>IF(ISNUMBER('Assumptions'!F31),'Assumptions'!F31*'Revenue model'!AM26,"n.a.")</x:f>
        <x:v>n.a.</x:v>
      </x:c>
      <x:c r="AN16" s="86" t="str">
        <x:f>IF(ISNUMBER('Assumptions'!F31),'Assumptions'!F31*'Revenue model'!AN26,"n.a.")</x:f>
        <x:v>n.a.</x:v>
      </x:c>
      <x:c r="AO16" s="86" t="str">
        <x:f>IF(ISNUMBER('Assumptions'!F31),'Assumptions'!F31*'Revenue model'!AO26,"n.a.")</x:f>
        <x:v>n.a.</x:v>
      </x:c>
      <x:c r="AP16" s="86" t="str">
        <x:f>IF(ISNUMBER('Assumptions'!F31),'Assumptions'!F31*'Revenue model'!AP26,"n.a.")</x:f>
        <x:v>n.a.</x:v>
      </x:c>
      <x:c r="AQ16" s="86" t="str">
        <x:f>IF(ISNUMBER('Assumptions'!F31),'Assumptions'!F31*'Revenue model'!AQ26,"n.a.")</x:f>
        <x:v>n.a.</x:v>
      </x:c>
      <x:c r="AR16" s="86" t="str">
        <x:f>IF(ISNUMBER('Assumptions'!F31),'Assumptions'!F31*'Revenue model'!AR26,"n.a.")</x:f>
        <x:v>n.a.</x:v>
      </x:c>
      <x:c r="AS16" s="86" t="str">
        <x:f>IF(ISNUMBER('Assumptions'!F31),'Assumptions'!F31*'Revenue model'!AS26,"n.a.")</x:f>
        <x:v>n.a.</x:v>
      </x:c>
      <x:c r="AT16" s="86" t="str">
        <x:f>IF(ISNUMBER('Assumptions'!G31),'Assumptions'!G31*'Revenue model'!AT26,"n.a.")</x:f>
        <x:v>n.a.</x:v>
      </x:c>
      <x:c r="AU16" s="86" t="str">
        <x:f>IF(ISNUMBER('Assumptions'!G31),'Assumptions'!G31*'Revenue model'!AU26,"n.a.")</x:f>
        <x:v>n.a.</x:v>
      </x:c>
      <x:c r="AV16" s="86" t="str">
        <x:f>IF(ISNUMBER('Assumptions'!G31),'Assumptions'!G31*'Revenue model'!AV26,"n.a.")</x:f>
        <x:v>n.a.</x:v>
      </x:c>
      <x:c r="AW16" s="86" t="str">
        <x:f>IF(ISNUMBER('Assumptions'!G31),'Assumptions'!G31*'Revenue model'!AW26,"n.a.")</x:f>
        <x:v>n.a.</x:v>
      </x:c>
      <x:c r="AX16" s="86" t="str">
        <x:f>IF(ISNUMBER('Assumptions'!G31),'Assumptions'!G31*'Revenue model'!AX26,"n.a.")</x:f>
        <x:v>n.a.</x:v>
      </x:c>
      <x:c r="AY16" s="86" t="str">
        <x:f>IF(ISNUMBER('Assumptions'!G31),'Assumptions'!G31*'Revenue model'!AY26,"n.a.")</x:f>
        <x:v>n.a.</x:v>
      </x:c>
      <x:c r="AZ16" s="86" t="str">
        <x:f>IF(ISNUMBER('Assumptions'!G31),'Assumptions'!G31*'Revenue model'!AZ26,"n.a.")</x:f>
        <x:v>n.a.</x:v>
      </x:c>
      <x:c r="BA16" s="86" t="str">
        <x:f>IF(ISNUMBER('Assumptions'!G31),'Assumptions'!G31*'Revenue model'!BA26,"n.a.")</x:f>
        <x:v>n.a.</x:v>
      </x:c>
      <x:c r="BB16" s="86" t="str">
        <x:f>IF(ISNUMBER('Assumptions'!G31),'Assumptions'!G31*'Revenue model'!BB26,"n.a.")</x:f>
        <x:v>n.a.</x:v>
      </x:c>
      <x:c r="BC16" s="86" t="str">
        <x:f>IF(ISNUMBER('Assumptions'!G31),'Assumptions'!G31*'Revenue model'!BC26,"n.a.")</x:f>
        <x:v>n.a.</x:v>
      </x:c>
      <x:c r="BD16" s="86" t="str">
        <x:f>IF(ISNUMBER('Assumptions'!G31),'Assumptions'!G31*'Revenue model'!BD26,"n.a.")</x:f>
        <x:v>n.a.</x:v>
      </x:c>
      <x:c r="BE16" s="86" t="str">
        <x:f>IF(ISNUMBER('Assumptions'!G31),'Assumptions'!G31*'Revenue model'!BE26,"n.a.")</x:f>
        <x:v>n.a.</x:v>
      </x:c>
      <x:c r="BF16" s="86" t="str">
        <x:f>IF(ISNUMBER('Assumptions'!H31),'Assumptions'!H31*'Revenue model'!BF26,"n.a.")</x:f>
        <x:v>n.a.</x:v>
      </x:c>
      <x:c r="BG16" s="86" t="str">
        <x:f>IF(ISNUMBER('Assumptions'!H31),'Assumptions'!H31*'Revenue model'!BG26,"n.a.")</x:f>
        <x:v>n.a.</x:v>
      </x:c>
      <x:c r="BH16" s="86" t="str">
        <x:f>IF(ISNUMBER('Assumptions'!H31),'Assumptions'!H31*'Revenue model'!BH26,"n.a.")</x:f>
        <x:v>n.a.</x:v>
      </x:c>
      <x:c r="BI16" s="86" t="str">
        <x:f>IF(ISNUMBER('Assumptions'!H31),'Assumptions'!H31*'Revenue model'!BI26,"n.a.")</x:f>
        <x:v>n.a.</x:v>
      </x:c>
      <x:c r="BJ16" s="86" t="str">
        <x:f>IF(ISNUMBER('Assumptions'!H31),'Assumptions'!H31*'Revenue model'!BJ26,"n.a.")</x:f>
        <x:v>n.a.</x:v>
      </x:c>
      <x:c r="BK16" s="86" t="str">
        <x:f>IF(ISNUMBER('Assumptions'!H31),'Assumptions'!H31*'Revenue model'!BK26,"n.a.")</x:f>
        <x:v>n.a.</x:v>
      </x:c>
      <x:c r="BL16" s="86" t="str">
        <x:f>IF(ISNUMBER('Assumptions'!H31),'Assumptions'!H31*'Revenue model'!BL26,"n.a.")</x:f>
        <x:v>n.a.</x:v>
      </x:c>
      <x:c r="BM16" s="86" t="str">
        <x:f>IF(ISNUMBER('Assumptions'!H31),'Assumptions'!H31*'Revenue model'!BM26,"n.a.")</x:f>
        <x:v>n.a.</x:v>
      </x:c>
      <x:c r="BN16" s="86" t="str">
        <x:f>IF(ISNUMBER('Assumptions'!H31),'Assumptions'!H31*'Revenue model'!BN26,"n.a.")</x:f>
        <x:v>n.a.</x:v>
      </x:c>
      <x:c r="BO16" s="86" t="str">
        <x:f>IF(ISNUMBER('Assumptions'!H31),'Assumptions'!H31*'Revenue model'!BO26,"n.a.")</x:f>
        <x:v>n.a.</x:v>
      </x:c>
      <x:c r="BP16" s="86" t="str">
        <x:f>IF(ISNUMBER('Assumptions'!H31),'Assumptions'!H31*'Revenue model'!BP26,"n.a.")</x:f>
        <x:v>n.a.</x:v>
      </x:c>
      <x:c r="BQ16" s="86" t="str">
        <x:f>IF(ISNUMBER('Assumptions'!H31),'Assumptions'!H31*'Revenue model'!BQ26,"n.a.")</x:f>
        <x:v>n.a.</x:v>
      </x:c>
    </x:row>
    <x:row r="17" ht="23" customHeight="1">
      <x:c r="A17" s="2"/>
      <x:c r="B17" s="2"/>
      <x:c r="C17" s="2" t="str">
        <x:v>Institutional direct costs</x:v>
      </x:c>
      <x:c r="D17" s="79" t="n">
        <x:f>IF(COUNT(J17:U17)=12,SUM(J17:U17),"n.a.")</x:f>
        <x:v>0</x:v>
      </x:c>
      <x:c r="E17" s="79" t="n">
        <x:f>IF(COUNT(V17:AG17)=12,SUM(V17:AG17),"n.a.")</x:f>
        <x:v>0</x:v>
      </x:c>
      <x:c r="F17" s="79" t="str">
        <x:f>IF(COUNT(AH17:AS17)=12,SUM(AH17:AS17),"n.a.")</x:f>
        <x:v>n.a.</x:v>
      </x:c>
      <x:c r="G17" s="79" t="str">
        <x:f>IF(COUNT(AT17:BE17)=12,SUM(AT17:BE17),"n.a.")</x:f>
        <x:v>n.a.</x:v>
      </x:c>
      <x:c r="H17" s="79" t="str">
        <x:f>IF(COUNT(BF17:BQ17)=12,SUM(BF17:BQ17),"n.a.")</x:f>
        <x:v>n.a.</x:v>
      </x:c>
      <x:c r="I17" s="86" t="n">
        <x:f>IF(SUM(I10:I11)=0,0,IF(ISNUMBER('Assumptions'!D41),SUM(I10:I11)*'Assumptions'!D41,"n.a."))</x:f>
        <x:v>0</x:v>
      </x:c>
      <x:c r="J17" s="86" t="n">
        <x:f>IF(SUM(J10:J11)=0,0,IF(ISNUMBER('Assumptions'!D41),SUM(J10:J11)*'Assumptions'!D41,"n.a."))</x:f>
        <x:v>0</x:v>
      </x:c>
      <x:c r="K17" s="86" t="n">
        <x:f>IF(SUM(K10:K11)=0,0,IF(ISNUMBER('Assumptions'!D41),SUM(K10:K11)*'Assumptions'!D41,"n.a."))</x:f>
        <x:v>0</x:v>
      </x:c>
      <x:c r="L17" s="86" t="n">
        <x:f>IF(SUM(L10:L11)=0,0,IF(ISNUMBER('Assumptions'!D41),SUM(L10:L11)*'Assumptions'!D41,"n.a."))</x:f>
        <x:v>0</x:v>
      </x:c>
      <x:c r="M17" s="86" t="n">
        <x:f>IF(SUM(M10:M11)=0,0,IF(ISNUMBER('Assumptions'!D41),SUM(M10:M11)*'Assumptions'!D41,"n.a."))</x:f>
        <x:v>0</x:v>
      </x:c>
      <x:c r="N17" s="86" t="n">
        <x:f>IF(SUM(N10:N11)=0,0,IF(ISNUMBER('Assumptions'!D41),SUM(N10:N11)*'Assumptions'!D41,"n.a."))</x:f>
        <x:v>0</x:v>
      </x:c>
      <x:c r="O17" s="86" t="n">
        <x:f>IF(SUM(O10:O11)=0,0,IF(ISNUMBER('Assumptions'!D41),SUM(O10:O11)*'Assumptions'!D41,"n.a."))</x:f>
        <x:v>0</x:v>
      </x:c>
      <x:c r="P17" s="86" t="n">
        <x:f>IF(SUM(P10:P11)=0,0,IF(ISNUMBER('Assumptions'!D41),SUM(P10:P11)*'Assumptions'!D41,"n.a."))</x:f>
        <x:v>0</x:v>
      </x:c>
      <x:c r="Q17" s="86" t="n">
        <x:f>IF(SUM(Q10:Q11)=0,0,IF(ISNUMBER('Assumptions'!D41),SUM(Q10:Q11)*'Assumptions'!D41,"n.a."))</x:f>
        <x:v>0</x:v>
      </x:c>
      <x:c r="R17" s="86" t="n">
        <x:f>IF(SUM(R10:R11)=0,0,IF(ISNUMBER('Assumptions'!D41),SUM(R10:R11)*'Assumptions'!D41,"n.a."))</x:f>
        <x:v>0</x:v>
      </x:c>
      <x:c r="S17" s="86" t="n">
        <x:f>IF(SUM(S10:S11)=0,0,IF(ISNUMBER('Assumptions'!D41),SUM(S10:S11)*'Assumptions'!D41,"n.a."))</x:f>
        <x:v>0</x:v>
      </x:c>
      <x:c r="T17" s="86" t="n">
        <x:f>IF(SUM(T10:T11)=0,0,IF(ISNUMBER('Assumptions'!D41),SUM(T10:T11)*'Assumptions'!D41,"n.a."))</x:f>
        <x:v>0</x:v>
      </x:c>
      <x:c r="U17" s="86" t="n">
        <x:f>IF(SUM(U10:U11)=0,0,IF(ISNUMBER('Assumptions'!D41),SUM(U10:U11)*'Assumptions'!D41,"n.a."))</x:f>
        <x:v>0</x:v>
      </x:c>
      <x:c r="V17" s="86" t="n">
        <x:f>IF(SUM(V10:V11)=0,0,IF(ISNUMBER('Assumptions'!E41),SUM(V10:V11)*'Assumptions'!E41,"n.a."))</x:f>
        <x:v>0</x:v>
      </x:c>
      <x:c r="W17" s="86" t="n">
        <x:f>IF(SUM(W10:W11)=0,0,IF(ISNUMBER('Assumptions'!E41),SUM(W10:W11)*'Assumptions'!E41,"n.a."))</x:f>
        <x:v>0</x:v>
      </x:c>
      <x:c r="X17" s="86" t="n">
        <x:f>IF(SUM(X10:X11)=0,0,IF(ISNUMBER('Assumptions'!E41),SUM(X10:X11)*'Assumptions'!E41,"n.a."))</x:f>
        <x:v>0</x:v>
      </x:c>
      <x:c r="Y17" s="86" t="n">
        <x:f>IF(SUM(Y10:Y11)=0,0,IF(ISNUMBER('Assumptions'!E41),SUM(Y10:Y11)*'Assumptions'!E41,"n.a."))</x:f>
        <x:v>0</x:v>
      </x:c>
      <x:c r="Z17" s="86" t="n">
        <x:f>IF(SUM(Z10:Z11)=0,0,IF(ISNUMBER('Assumptions'!E41),SUM(Z10:Z11)*'Assumptions'!E41,"n.a."))</x:f>
        <x:v>0</x:v>
      </x:c>
      <x:c r="AA17" s="86" t="n">
        <x:f>IF(SUM(AA10:AA11)=0,0,IF(ISNUMBER('Assumptions'!E41),SUM(AA10:AA11)*'Assumptions'!E41,"n.a."))</x:f>
        <x:v>0</x:v>
      </x:c>
      <x:c r="AB17" s="86" t="n">
        <x:f>IF(SUM(AB10:AB11)=0,0,IF(ISNUMBER('Assumptions'!E41),SUM(AB10:AB11)*'Assumptions'!E41,"n.a."))</x:f>
        <x:v>0</x:v>
      </x:c>
      <x:c r="AC17" s="86" t="n">
        <x:f>IF(SUM(AC10:AC11)=0,0,IF(ISNUMBER('Assumptions'!E41),SUM(AC10:AC11)*'Assumptions'!E41,"n.a."))</x:f>
        <x:v>0</x:v>
      </x:c>
      <x:c r="AD17" s="86" t="n">
        <x:f>IF(SUM(AD10:AD11)=0,0,IF(ISNUMBER('Assumptions'!E41),SUM(AD10:AD11)*'Assumptions'!E41,"n.a."))</x:f>
        <x:v>0</x:v>
      </x:c>
      <x:c r="AE17" s="86" t="n">
        <x:f>IF(SUM(AE10:AE11)=0,0,IF(ISNUMBER('Assumptions'!E41),SUM(AE10:AE11)*'Assumptions'!E41,"n.a."))</x:f>
        <x:v>0</x:v>
      </x:c>
      <x:c r="AF17" s="86" t="n">
        <x:f>IF(SUM(AF10:AF11)=0,0,IF(ISNUMBER('Assumptions'!E41),SUM(AF10:AF11)*'Assumptions'!E41,"n.a."))</x:f>
        <x:v>0</x:v>
      </x:c>
      <x:c r="AG17" s="86" t="n">
        <x:f>IF(SUM(AG10:AG11)=0,0,IF(ISNUMBER('Assumptions'!E41),SUM(AG10:AG11)*'Assumptions'!E41,"n.a."))</x:f>
        <x:v>0</x:v>
      </x:c>
      <x:c r="AH17" s="86" t="str">
        <x:f>IF(SUM(AH10:AH11)=0,0,IF(ISNUMBER('Assumptions'!F41),SUM(AH10:AH11)*'Assumptions'!F41,"n.a."))</x:f>
        <x:v>n.a.</x:v>
      </x:c>
      <x:c r="AI17" s="86" t="str">
        <x:f>IF(SUM(AI10:AI11)=0,0,IF(ISNUMBER('Assumptions'!F41),SUM(AI10:AI11)*'Assumptions'!F41,"n.a."))</x:f>
        <x:v>n.a.</x:v>
      </x:c>
      <x:c r="AJ17" s="86" t="str">
        <x:f>IF(SUM(AJ10:AJ11)=0,0,IF(ISNUMBER('Assumptions'!F41),SUM(AJ10:AJ11)*'Assumptions'!F41,"n.a."))</x:f>
        <x:v>n.a.</x:v>
      </x:c>
      <x:c r="AK17" s="86" t="str">
        <x:f>IF(SUM(AK10:AK11)=0,0,IF(ISNUMBER('Assumptions'!F41),SUM(AK10:AK11)*'Assumptions'!F41,"n.a."))</x:f>
        <x:v>n.a.</x:v>
      </x:c>
      <x:c r="AL17" s="86" t="str">
        <x:f>IF(SUM(AL10:AL11)=0,0,IF(ISNUMBER('Assumptions'!F41),SUM(AL10:AL11)*'Assumptions'!F41,"n.a."))</x:f>
        <x:v>n.a.</x:v>
      </x:c>
      <x:c r="AM17" s="86" t="str">
        <x:f>IF(SUM(AM10:AM11)=0,0,IF(ISNUMBER('Assumptions'!F41),SUM(AM10:AM11)*'Assumptions'!F41,"n.a."))</x:f>
        <x:v>n.a.</x:v>
      </x:c>
      <x:c r="AN17" s="86" t="str">
        <x:f>IF(SUM(AN10:AN11)=0,0,IF(ISNUMBER('Assumptions'!F41),SUM(AN10:AN11)*'Assumptions'!F41,"n.a."))</x:f>
        <x:v>n.a.</x:v>
      </x:c>
      <x:c r="AO17" s="86" t="str">
        <x:f>IF(SUM(AO10:AO11)=0,0,IF(ISNUMBER('Assumptions'!F41),SUM(AO10:AO11)*'Assumptions'!F41,"n.a."))</x:f>
        <x:v>n.a.</x:v>
      </x:c>
      <x:c r="AP17" s="86" t="str">
        <x:f>IF(SUM(AP10:AP11)=0,0,IF(ISNUMBER('Assumptions'!F41),SUM(AP10:AP11)*'Assumptions'!F41,"n.a."))</x:f>
        <x:v>n.a.</x:v>
      </x:c>
      <x:c r="AQ17" s="86" t="str">
        <x:f>IF(SUM(AQ10:AQ11)=0,0,IF(ISNUMBER('Assumptions'!F41),SUM(AQ10:AQ11)*'Assumptions'!F41,"n.a."))</x:f>
        <x:v>n.a.</x:v>
      </x:c>
      <x:c r="AR17" s="86" t="str">
        <x:f>IF(SUM(AR10:AR11)=0,0,IF(ISNUMBER('Assumptions'!F41),SUM(AR10:AR11)*'Assumptions'!F41,"n.a."))</x:f>
        <x:v>n.a.</x:v>
      </x:c>
      <x:c r="AS17" s="86" t="str">
        <x:f>IF(SUM(AS10:AS11)=0,0,IF(ISNUMBER('Assumptions'!F41),SUM(AS10:AS11)*'Assumptions'!F41,"n.a."))</x:f>
        <x:v>n.a.</x:v>
      </x:c>
      <x:c r="AT17" s="86" t="str">
        <x:f>IF(SUM(AT10:AT11)=0,0,IF(ISNUMBER('Assumptions'!G41),SUM(AT10:AT11)*'Assumptions'!G41,"n.a."))</x:f>
        <x:v>n.a.</x:v>
      </x:c>
      <x:c r="AU17" s="86" t="str">
        <x:f>IF(SUM(AU10:AU11)=0,0,IF(ISNUMBER('Assumptions'!G41),SUM(AU10:AU11)*'Assumptions'!G41,"n.a."))</x:f>
        <x:v>n.a.</x:v>
      </x:c>
      <x:c r="AV17" s="86" t="str">
        <x:f>IF(SUM(AV10:AV11)=0,0,IF(ISNUMBER('Assumptions'!G41),SUM(AV10:AV11)*'Assumptions'!G41,"n.a."))</x:f>
        <x:v>n.a.</x:v>
      </x:c>
      <x:c r="AW17" s="86" t="str">
        <x:f>IF(SUM(AW10:AW11)=0,0,IF(ISNUMBER('Assumptions'!G41),SUM(AW10:AW11)*'Assumptions'!G41,"n.a."))</x:f>
        <x:v>n.a.</x:v>
      </x:c>
      <x:c r="AX17" s="86" t="str">
        <x:f>IF(SUM(AX10:AX11)=0,0,IF(ISNUMBER('Assumptions'!G41),SUM(AX10:AX11)*'Assumptions'!G41,"n.a."))</x:f>
        <x:v>n.a.</x:v>
      </x:c>
      <x:c r="AY17" s="86" t="str">
        <x:f>IF(SUM(AY10:AY11)=0,0,IF(ISNUMBER('Assumptions'!G41),SUM(AY10:AY11)*'Assumptions'!G41,"n.a."))</x:f>
        <x:v>n.a.</x:v>
      </x:c>
      <x:c r="AZ17" s="86" t="str">
        <x:f>IF(SUM(AZ10:AZ11)=0,0,IF(ISNUMBER('Assumptions'!G41),SUM(AZ10:AZ11)*'Assumptions'!G41,"n.a."))</x:f>
        <x:v>n.a.</x:v>
      </x:c>
      <x:c r="BA17" s="86" t="str">
        <x:f>IF(SUM(BA10:BA11)=0,0,IF(ISNUMBER('Assumptions'!G41),SUM(BA10:BA11)*'Assumptions'!G41,"n.a."))</x:f>
        <x:v>n.a.</x:v>
      </x:c>
      <x:c r="BB17" s="86" t="str">
        <x:f>IF(SUM(BB10:BB11)=0,0,IF(ISNUMBER('Assumptions'!G41),SUM(BB10:BB11)*'Assumptions'!G41,"n.a."))</x:f>
        <x:v>n.a.</x:v>
      </x:c>
      <x:c r="BC17" s="86" t="str">
        <x:f>IF(SUM(BC10:BC11)=0,0,IF(ISNUMBER('Assumptions'!G41),SUM(BC10:BC11)*'Assumptions'!G41,"n.a."))</x:f>
        <x:v>n.a.</x:v>
      </x:c>
      <x:c r="BD17" s="86" t="str">
        <x:f>IF(SUM(BD10:BD11)=0,0,IF(ISNUMBER('Assumptions'!G41),SUM(BD10:BD11)*'Assumptions'!G41,"n.a."))</x:f>
        <x:v>n.a.</x:v>
      </x:c>
      <x:c r="BE17" s="86" t="str">
        <x:f>IF(SUM(BE10:BE11)=0,0,IF(ISNUMBER('Assumptions'!G41),SUM(BE10:BE11)*'Assumptions'!G41,"n.a."))</x:f>
        <x:v>n.a.</x:v>
      </x:c>
      <x:c r="BF17" s="86" t="str">
        <x:f>IF(SUM(BF10:BF11)=0,0,IF(ISNUMBER('Assumptions'!H41),SUM(BF10:BF11)*'Assumptions'!H41,"n.a."))</x:f>
        <x:v>n.a.</x:v>
      </x:c>
      <x:c r="BG17" s="86" t="str">
        <x:f>IF(SUM(BG10:BG11)=0,0,IF(ISNUMBER('Assumptions'!H41),SUM(BG10:BG11)*'Assumptions'!H41,"n.a."))</x:f>
        <x:v>n.a.</x:v>
      </x:c>
      <x:c r="BH17" s="86" t="str">
        <x:f>IF(SUM(BH10:BH11)=0,0,IF(ISNUMBER('Assumptions'!H41),SUM(BH10:BH11)*'Assumptions'!H41,"n.a."))</x:f>
        <x:v>n.a.</x:v>
      </x:c>
      <x:c r="BI17" s="86" t="str">
        <x:f>IF(SUM(BI10:BI11)=0,0,IF(ISNUMBER('Assumptions'!H41),SUM(BI10:BI11)*'Assumptions'!H41,"n.a."))</x:f>
        <x:v>n.a.</x:v>
      </x:c>
      <x:c r="BJ17" s="86" t="str">
        <x:f>IF(SUM(BJ10:BJ11)=0,0,IF(ISNUMBER('Assumptions'!H41),SUM(BJ10:BJ11)*'Assumptions'!H41,"n.a."))</x:f>
        <x:v>n.a.</x:v>
      </x:c>
      <x:c r="BK17" s="86" t="str">
        <x:f>IF(SUM(BK10:BK11)=0,0,IF(ISNUMBER('Assumptions'!H41),SUM(BK10:BK11)*'Assumptions'!H41,"n.a."))</x:f>
        <x:v>n.a.</x:v>
      </x:c>
      <x:c r="BL17" s="86" t="str">
        <x:f>IF(SUM(BL10:BL11)=0,0,IF(ISNUMBER('Assumptions'!H41),SUM(BL10:BL11)*'Assumptions'!H41,"n.a."))</x:f>
        <x:v>n.a.</x:v>
      </x:c>
      <x:c r="BM17" s="86" t="str">
        <x:f>IF(SUM(BM10:BM11)=0,0,IF(ISNUMBER('Assumptions'!H41),SUM(BM10:BM11)*'Assumptions'!H41,"n.a."))</x:f>
        <x:v>n.a.</x:v>
      </x:c>
      <x:c r="BN17" s="86" t="str">
        <x:f>IF(SUM(BN10:BN11)=0,0,IF(ISNUMBER('Assumptions'!H41),SUM(BN10:BN11)*'Assumptions'!H41,"n.a."))</x:f>
        <x:v>n.a.</x:v>
      </x:c>
      <x:c r="BO17" s="86" t="str">
        <x:f>IF(SUM(BO10:BO11)=0,0,IF(ISNUMBER('Assumptions'!H41),SUM(BO10:BO11)*'Assumptions'!H41,"n.a."))</x:f>
        <x:v>n.a.</x:v>
      </x:c>
      <x:c r="BP17" s="86" t="str">
        <x:f>IF(SUM(BP10:BP11)=0,0,IF(ISNUMBER('Assumptions'!H41),SUM(BP10:BP11)*'Assumptions'!H41,"n.a."))</x:f>
        <x:v>n.a.</x:v>
      </x:c>
      <x:c r="BQ17" s="86" t="str">
        <x:f>IF(SUM(BQ10:BQ11)=0,0,IF(ISNUMBER('Assumptions'!H41),SUM(BQ10:BQ11)*'Assumptions'!H41,"n.a."))</x:f>
        <x:v>n.a.</x:v>
      </x:c>
    </x:row>
    <x:row r="18" ht="23" customHeight="1">
      <x:c r="A18" s="2"/>
      <x:c r="B18" s="2"/>
      <x:c r="C18" s="2" t="str">
        <x:v>Payment processing</x:v>
      </x:c>
      <x:c r="D18" s="79" t="str">
        <x:f>IF(COUNT(J18:U18)=12,SUM(J18:U18),"n.a.")</x:f>
        <x:v>n.a.</x:v>
      </x:c>
      <x:c r="E18" s="79" t="str">
        <x:f>IF(COUNT(V18:AG18)=12,SUM(V18:AG18),"n.a.")</x:f>
        <x:v>n.a.</x:v>
      </x:c>
      <x:c r="F18" s="79" t="str">
        <x:f>IF(COUNT(AH18:AS18)=12,SUM(AH18:AS18),"n.a.")</x:f>
        <x:v>n.a.</x:v>
      </x:c>
      <x:c r="G18" s="79" t="str">
        <x:f>IF(COUNT(AT18:BE18)=12,SUM(AT18:BE18),"n.a.")</x:f>
        <x:v>n.a.</x:v>
      </x:c>
      <x:c r="H18" s="79" t="str">
        <x:f>IF(COUNT(BF18:BQ18)=12,SUM(BF18:BQ18),"n.a.")</x:f>
        <x:v>n.a.</x:v>
      </x:c>
      <x:c r="I18" s="86" t="str">
        <x:f>IF(ISNUMBER('Assumptions'!D32),'Assumptions'!D32*I12,"n.a.")</x:f>
        <x:v>n.a.</x:v>
      </x:c>
      <x:c r="J18" s="86" t="str">
        <x:f>IF(ISNUMBER('Assumptions'!D32),'Assumptions'!D32*J12,"n.a.")</x:f>
        <x:v>n.a.</x:v>
      </x:c>
      <x:c r="K18" s="86" t="str">
        <x:f>IF(ISNUMBER('Assumptions'!D32),'Assumptions'!D32*K12,"n.a.")</x:f>
        <x:v>n.a.</x:v>
      </x:c>
      <x:c r="L18" s="86" t="str">
        <x:f>IF(ISNUMBER('Assumptions'!D32),'Assumptions'!D32*L12,"n.a.")</x:f>
        <x:v>n.a.</x:v>
      </x:c>
      <x:c r="M18" s="86" t="str">
        <x:f>IF(ISNUMBER('Assumptions'!D32),'Assumptions'!D32*M12,"n.a.")</x:f>
        <x:v>n.a.</x:v>
      </x:c>
      <x:c r="N18" s="86" t="str">
        <x:f>IF(ISNUMBER('Assumptions'!D32),'Assumptions'!D32*N12,"n.a.")</x:f>
        <x:v>n.a.</x:v>
      </x:c>
      <x:c r="O18" s="86" t="str">
        <x:f>IF(ISNUMBER('Assumptions'!D32),'Assumptions'!D32*O12,"n.a.")</x:f>
        <x:v>n.a.</x:v>
      </x:c>
      <x:c r="P18" s="86" t="str">
        <x:f>IF(ISNUMBER('Assumptions'!D32),'Assumptions'!D32*P12,"n.a.")</x:f>
        <x:v>n.a.</x:v>
      </x:c>
      <x:c r="Q18" s="86" t="str">
        <x:f>IF(ISNUMBER('Assumptions'!D32),'Assumptions'!D32*Q12,"n.a.")</x:f>
        <x:v>n.a.</x:v>
      </x:c>
      <x:c r="R18" s="86" t="str">
        <x:f>IF(ISNUMBER('Assumptions'!D32),'Assumptions'!D32*R12,"n.a.")</x:f>
        <x:v>n.a.</x:v>
      </x:c>
      <x:c r="S18" s="86" t="str">
        <x:f>IF(ISNUMBER('Assumptions'!D32),'Assumptions'!D32*S12,"n.a.")</x:f>
        <x:v>n.a.</x:v>
      </x:c>
      <x:c r="T18" s="86" t="str">
        <x:f>IF(ISNUMBER('Assumptions'!D32),'Assumptions'!D32*T12,"n.a.")</x:f>
        <x:v>n.a.</x:v>
      </x:c>
      <x:c r="U18" s="86" t="str">
        <x:f>IF(ISNUMBER('Assumptions'!D32),'Assumptions'!D32*U12,"n.a.")</x:f>
        <x:v>n.a.</x:v>
      </x:c>
      <x:c r="V18" s="86" t="str">
        <x:f>IF(ISNUMBER('Assumptions'!E32),'Assumptions'!E32*V12,"n.a.")</x:f>
        <x:v>n.a.</x:v>
      </x:c>
      <x:c r="W18" s="86" t="str">
        <x:f>IF(ISNUMBER('Assumptions'!E32),'Assumptions'!E32*W12,"n.a.")</x:f>
        <x:v>n.a.</x:v>
      </x:c>
      <x:c r="X18" s="86" t="str">
        <x:f>IF(ISNUMBER('Assumptions'!E32),'Assumptions'!E32*X12,"n.a.")</x:f>
        <x:v>n.a.</x:v>
      </x:c>
      <x:c r="Y18" s="86" t="str">
        <x:f>IF(ISNUMBER('Assumptions'!E32),'Assumptions'!E32*Y12,"n.a.")</x:f>
        <x:v>n.a.</x:v>
      </x:c>
      <x:c r="Z18" s="86" t="str">
        <x:f>IF(ISNUMBER('Assumptions'!E32),'Assumptions'!E32*Z12,"n.a.")</x:f>
        <x:v>n.a.</x:v>
      </x:c>
      <x:c r="AA18" s="86" t="str">
        <x:f>IF(ISNUMBER('Assumptions'!E32),'Assumptions'!E32*AA12,"n.a.")</x:f>
        <x:v>n.a.</x:v>
      </x:c>
      <x:c r="AB18" s="86" t="str">
        <x:f>IF(ISNUMBER('Assumptions'!E32),'Assumptions'!E32*AB12,"n.a.")</x:f>
        <x:v>n.a.</x:v>
      </x:c>
      <x:c r="AC18" s="86" t="str">
        <x:f>IF(ISNUMBER('Assumptions'!E32),'Assumptions'!E32*AC12,"n.a.")</x:f>
        <x:v>n.a.</x:v>
      </x:c>
      <x:c r="AD18" s="86" t="str">
        <x:f>IF(ISNUMBER('Assumptions'!E32),'Assumptions'!E32*AD12,"n.a.")</x:f>
        <x:v>n.a.</x:v>
      </x:c>
      <x:c r="AE18" s="86" t="str">
        <x:f>IF(ISNUMBER('Assumptions'!E32),'Assumptions'!E32*AE12,"n.a.")</x:f>
        <x:v>n.a.</x:v>
      </x:c>
      <x:c r="AF18" s="86" t="str">
        <x:f>IF(ISNUMBER('Assumptions'!E32),'Assumptions'!E32*AF12,"n.a.")</x:f>
        <x:v>n.a.</x:v>
      </x:c>
      <x:c r="AG18" s="86" t="str">
        <x:f>IF(ISNUMBER('Assumptions'!E32),'Assumptions'!E32*AG12,"n.a.")</x:f>
        <x:v>n.a.</x:v>
      </x:c>
      <x:c r="AH18" s="86" t="str">
        <x:f>IF(ISNUMBER('Assumptions'!F32),'Assumptions'!F32*AH12,"n.a.")</x:f>
        <x:v>n.a.</x:v>
      </x:c>
      <x:c r="AI18" s="86" t="str">
        <x:f>IF(ISNUMBER('Assumptions'!F32),'Assumptions'!F32*AI12,"n.a.")</x:f>
        <x:v>n.a.</x:v>
      </x:c>
      <x:c r="AJ18" s="86" t="str">
        <x:f>IF(ISNUMBER('Assumptions'!F32),'Assumptions'!F32*AJ12,"n.a.")</x:f>
        <x:v>n.a.</x:v>
      </x:c>
      <x:c r="AK18" s="86" t="str">
        <x:f>IF(ISNUMBER('Assumptions'!F32),'Assumptions'!F32*AK12,"n.a.")</x:f>
        <x:v>n.a.</x:v>
      </x:c>
      <x:c r="AL18" s="86" t="str">
        <x:f>IF(ISNUMBER('Assumptions'!F32),'Assumptions'!F32*AL12,"n.a.")</x:f>
        <x:v>n.a.</x:v>
      </x:c>
      <x:c r="AM18" s="86" t="str">
        <x:f>IF(ISNUMBER('Assumptions'!F32),'Assumptions'!F32*AM12,"n.a.")</x:f>
        <x:v>n.a.</x:v>
      </x:c>
      <x:c r="AN18" s="86" t="str">
        <x:f>IF(ISNUMBER('Assumptions'!F32),'Assumptions'!F32*AN12,"n.a.")</x:f>
        <x:v>n.a.</x:v>
      </x:c>
      <x:c r="AO18" s="86" t="str">
        <x:f>IF(ISNUMBER('Assumptions'!F32),'Assumptions'!F32*AO12,"n.a.")</x:f>
        <x:v>n.a.</x:v>
      </x:c>
      <x:c r="AP18" s="86" t="str">
        <x:f>IF(ISNUMBER('Assumptions'!F32),'Assumptions'!F32*AP12,"n.a.")</x:f>
        <x:v>n.a.</x:v>
      </x:c>
      <x:c r="AQ18" s="86" t="str">
        <x:f>IF(ISNUMBER('Assumptions'!F32),'Assumptions'!F32*AQ12,"n.a.")</x:f>
        <x:v>n.a.</x:v>
      </x:c>
      <x:c r="AR18" s="86" t="str">
        <x:f>IF(ISNUMBER('Assumptions'!F32),'Assumptions'!F32*AR12,"n.a.")</x:f>
        <x:v>n.a.</x:v>
      </x:c>
      <x:c r="AS18" s="86" t="str">
        <x:f>IF(ISNUMBER('Assumptions'!F32),'Assumptions'!F32*AS12,"n.a.")</x:f>
        <x:v>n.a.</x:v>
      </x:c>
      <x:c r="AT18" s="86" t="str">
        <x:f>IF(ISNUMBER('Assumptions'!G32),'Assumptions'!G32*AT12,"n.a.")</x:f>
        <x:v>n.a.</x:v>
      </x:c>
      <x:c r="AU18" s="86" t="str">
        <x:f>IF(ISNUMBER('Assumptions'!G32),'Assumptions'!G32*AU12,"n.a.")</x:f>
        <x:v>n.a.</x:v>
      </x:c>
      <x:c r="AV18" s="86" t="str">
        <x:f>IF(ISNUMBER('Assumptions'!G32),'Assumptions'!G32*AV12,"n.a.")</x:f>
        <x:v>n.a.</x:v>
      </x:c>
      <x:c r="AW18" s="86" t="str">
        <x:f>IF(ISNUMBER('Assumptions'!G32),'Assumptions'!G32*AW12,"n.a.")</x:f>
        <x:v>n.a.</x:v>
      </x:c>
      <x:c r="AX18" s="86" t="str">
        <x:f>IF(ISNUMBER('Assumptions'!G32),'Assumptions'!G32*AX12,"n.a.")</x:f>
        <x:v>n.a.</x:v>
      </x:c>
      <x:c r="AY18" s="86" t="str">
        <x:f>IF(ISNUMBER('Assumptions'!G32),'Assumptions'!G32*AY12,"n.a.")</x:f>
        <x:v>n.a.</x:v>
      </x:c>
      <x:c r="AZ18" s="86" t="str">
        <x:f>IF(ISNUMBER('Assumptions'!G32),'Assumptions'!G32*AZ12,"n.a.")</x:f>
        <x:v>n.a.</x:v>
      </x:c>
      <x:c r="BA18" s="86" t="str">
        <x:f>IF(ISNUMBER('Assumptions'!G32),'Assumptions'!G32*BA12,"n.a.")</x:f>
        <x:v>n.a.</x:v>
      </x:c>
      <x:c r="BB18" s="86" t="str">
        <x:f>IF(ISNUMBER('Assumptions'!G32),'Assumptions'!G32*BB12,"n.a.")</x:f>
        <x:v>n.a.</x:v>
      </x:c>
      <x:c r="BC18" s="86" t="str">
        <x:f>IF(ISNUMBER('Assumptions'!G32),'Assumptions'!G32*BC12,"n.a.")</x:f>
        <x:v>n.a.</x:v>
      </x:c>
      <x:c r="BD18" s="86" t="str">
        <x:f>IF(ISNUMBER('Assumptions'!G32),'Assumptions'!G32*BD12,"n.a.")</x:f>
        <x:v>n.a.</x:v>
      </x:c>
      <x:c r="BE18" s="86" t="str">
        <x:f>IF(ISNUMBER('Assumptions'!G32),'Assumptions'!G32*BE12,"n.a.")</x:f>
        <x:v>n.a.</x:v>
      </x:c>
      <x:c r="BF18" s="86" t="str">
        <x:f>IF(ISNUMBER('Assumptions'!H32),'Assumptions'!H32*BF12,"n.a.")</x:f>
        <x:v>n.a.</x:v>
      </x:c>
      <x:c r="BG18" s="86" t="str">
        <x:f>IF(ISNUMBER('Assumptions'!H32),'Assumptions'!H32*BG12,"n.a.")</x:f>
        <x:v>n.a.</x:v>
      </x:c>
      <x:c r="BH18" s="86" t="str">
        <x:f>IF(ISNUMBER('Assumptions'!H32),'Assumptions'!H32*BH12,"n.a.")</x:f>
        <x:v>n.a.</x:v>
      </x:c>
      <x:c r="BI18" s="86" t="str">
        <x:f>IF(ISNUMBER('Assumptions'!H32),'Assumptions'!H32*BI12,"n.a.")</x:f>
        <x:v>n.a.</x:v>
      </x:c>
      <x:c r="BJ18" s="86" t="str">
        <x:f>IF(ISNUMBER('Assumptions'!H32),'Assumptions'!H32*BJ12,"n.a.")</x:f>
        <x:v>n.a.</x:v>
      </x:c>
      <x:c r="BK18" s="86" t="str">
        <x:f>IF(ISNUMBER('Assumptions'!H32),'Assumptions'!H32*BK12,"n.a.")</x:f>
        <x:v>n.a.</x:v>
      </x:c>
      <x:c r="BL18" s="86" t="str">
        <x:f>IF(ISNUMBER('Assumptions'!H32),'Assumptions'!H32*BL12,"n.a.")</x:f>
        <x:v>n.a.</x:v>
      </x:c>
      <x:c r="BM18" s="86" t="str">
        <x:f>IF(ISNUMBER('Assumptions'!H32),'Assumptions'!H32*BM12,"n.a.")</x:f>
        <x:v>n.a.</x:v>
      </x:c>
      <x:c r="BN18" s="86" t="str">
        <x:f>IF(ISNUMBER('Assumptions'!H32),'Assumptions'!H32*BN12,"n.a.")</x:f>
        <x:v>n.a.</x:v>
      </x:c>
      <x:c r="BO18" s="86" t="str">
        <x:f>IF(ISNUMBER('Assumptions'!H32),'Assumptions'!H32*BO12,"n.a.")</x:f>
        <x:v>n.a.</x:v>
      </x:c>
      <x:c r="BP18" s="86" t="str">
        <x:f>IF(ISNUMBER('Assumptions'!H32),'Assumptions'!H32*BP12,"n.a.")</x:f>
        <x:v>n.a.</x:v>
      </x:c>
      <x:c r="BQ18" s="86" t="str">
        <x:f>IF(ISNUMBER('Assumptions'!H32),'Assumptions'!H32*BQ12,"n.a.")</x:f>
        <x:v>n.a.</x:v>
      </x:c>
    </x:row>
    <x:row r="19" ht="25" customHeight="1">
      <x:c r="A19" s="2"/>
      <x:c r="B19" s="2"/>
      <x:c r="C19" s="84" t="str">
        <x:v>Total cost of revenue</x:v>
      </x:c>
      <x:c r="D19" s="85" t="str">
        <x:f>IF(COUNT(J19:U19)=12,SUM(J19:U19),"n.a.")</x:f>
        <x:v>n.a.</x:v>
      </x:c>
      <x:c r="E19" s="85" t="str">
        <x:f>IF(COUNT(V19:AG19)=12,SUM(V19:AG19),"n.a.")</x:f>
        <x:v>n.a.</x:v>
      </x:c>
      <x:c r="F19" s="85" t="str">
        <x:f>IF(COUNT(AH19:AS19)=12,SUM(AH19:AS19),"n.a.")</x:f>
        <x:v>n.a.</x:v>
      </x:c>
      <x:c r="G19" s="85" t="str">
        <x:f>IF(COUNT(AT19:BE19)=12,SUM(AT19:BE19),"n.a.")</x:f>
        <x:v>n.a.</x:v>
      </x:c>
      <x:c r="H19" s="85" t="str">
        <x:f>IF(COUNT(BF19:BQ19)=12,SUM(BF19:BQ19),"n.a.")</x:f>
        <x:v>n.a.</x:v>
      </x:c>
      <x:c r="I19" s="85" t="str">
        <x:f>IF(COUNT(I15:I18)=4,SUM(I15:I18),"n.a.")</x:f>
        <x:v>n.a.</x:v>
      </x:c>
      <x:c r="J19" s="85" t="str">
        <x:f>IF(COUNT(J15:J18)=4,SUM(J15:J18),"n.a.")</x:f>
        <x:v>n.a.</x:v>
      </x:c>
      <x:c r="K19" s="85" t="str">
        <x:f>IF(COUNT(K15:K18)=4,SUM(K15:K18),"n.a.")</x:f>
        <x:v>n.a.</x:v>
      </x:c>
      <x:c r="L19" s="85" t="str">
        <x:f>IF(COUNT(L15:L18)=4,SUM(L15:L18),"n.a.")</x:f>
        <x:v>n.a.</x:v>
      </x:c>
      <x:c r="M19" s="85" t="str">
        <x:f>IF(COUNT(M15:M18)=4,SUM(M15:M18),"n.a.")</x:f>
        <x:v>n.a.</x:v>
      </x:c>
      <x:c r="N19" s="85" t="str">
        <x:f>IF(COUNT(N15:N18)=4,SUM(N15:N18),"n.a.")</x:f>
        <x:v>n.a.</x:v>
      </x:c>
      <x:c r="O19" s="85" t="str">
        <x:f>IF(COUNT(O15:O18)=4,SUM(O15:O18),"n.a.")</x:f>
        <x:v>n.a.</x:v>
      </x:c>
      <x:c r="P19" s="85" t="str">
        <x:f>IF(COUNT(P15:P18)=4,SUM(P15:P18),"n.a.")</x:f>
        <x:v>n.a.</x:v>
      </x:c>
      <x:c r="Q19" s="85" t="str">
        <x:f>IF(COUNT(Q15:Q18)=4,SUM(Q15:Q18),"n.a.")</x:f>
        <x:v>n.a.</x:v>
      </x:c>
      <x:c r="R19" s="85" t="str">
        <x:f>IF(COUNT(R15:R18)=4,SUM(R15:R18),"n.a.")</x:f>
        <x:v>n.a.</x:v>
      </x:c>
      <x:c r="S19" s="85" t="str">
        <x:f>IF(COUNT(S15:S18)=4,SUM(S15:S18),"n.a.")</x:f>
        <x:v>n.a.</x:v>
      </x:c>
      <x:c r="T19" s="85" t="str">
        <x:f>IF(COUNT(T15:T18)=4,SUM(T15:T18),"n.a.")</x:f>
        <x:v>n.a.</x:v>
      </x:c>
      <x:c r="U19" s="85" t="str">
        <x:f>IF(COUNT(U15:U18)=4,SUM(U15:U18),"n.a.")</x:f>
        <x:v>n.a.</x:v>
      </x:c>
      <x:c r="V19" s="85" t="str">
        <x:f>IF(COUNT(V15:V18)=4,SUM(V15:V18),"n.a.")</x:f>
        <x:v>n.a.</x:v>
      </x:c>
      <x:c r="W19" s="85" t="str">
        <x:f>IF(COUNT(W15:W18)=4,SUM(W15:W18),"n.a.")</x:f>
        <x:v>n.a.</x:v>
      </x:c>
      <x:c r="X19" s="85" t="str">
        <x:f>IF(COUNT(X15:X18)=4,SUM(X15:X18),"n.a.")</x:f>
        <x:v>n.a.</x:v>
      </x:c>
      <x:c r="Y19" s="85" t="str">
        <x:f>IF(COUNT(Y15:Y18)=4,SUM(Y15:Y18),"n.a.")</x:f>
        <x:v>n.a.</x:v>
      </x:c>
      <x:c r="Z19" s="85" t="str">
        <x:f>IF(COUNT(Z15:Z18)=4,SUM(Z15:Z18),"n.a.")</x:f>
        <x:v>n.a.</x:v>
      </x:c>
      <x:c r="AA19" s="85" t="str">
        <x:f>IF(COUNT(AA15:AA18)=4,SUM(AA15:AA18),"n.a.")</x:f>
        <x:v>n.a.</x:v>
      </x:c>
      <x:c r="AB19" s="85" t="str">
        <x:f>IF(COUNT(AB15:AB18)=4,SUM(AB15:AB18),"n.a.")</x:f>
        <x:v>n.a.</x:v>
      </x:c>
      <x:c r="AC19" s="85" t="str">
        <x:f>IF(COUNT(AC15:AC18)=4,SUM(AC15:AC18),"n.a.")</x:f>
        <x:v>n.a.</x:v>
      </x:c>
      <x:c r="AD19" s="85" t="str">
        <x:f>IF(COUNT(AD15:AD18)=4,SUM(AD15:AD18),"n.a.")</x:f>
        <x:v>n.a.</x:v>
      </x:c>
      <x:c r="AE19" s="85" t="str">
        <x:f>IF(COUNT(AE15:AE18)=4,SUM(AE15:AE18),"n.a.")</x:f>
        <x:v>n.a.</x:v>
      </x:c>
      <x:c r="AF19" s="85" t="str">
        <x:f>IF(COUNT(AF15:AF18)=4,SUM(AF15:AF18),"n.a.")</x:f>
        <x:v>n.a.</x:v>
      </x:c>
      <x:c r="AG19" s="85" t="str">
        <x:f>IF(COUNT(AG15:AG18)=4,SUM(AG15:AG18),"n.a.")</x:f>
        <x:v>n.a.</x:v>
      </x:c>
      <x:c r="AH19" s="85" t="str">
        <x:f>IF(COUNT(AH15:AH18)=4,SUM(AH15:AH18),"n.a.")</x:f>
        <x:v>n.a.</x:v>
      </x:c>
      <x:c r="AI19" s="85" t="str">
        <x:f>IF(COUNT(AI15:AI18)=4,SUM(AI15:AI18),"n.a.")</x:f>
        <x:v>n.a.</x:v>
      </x:c>
      <x:c r="AJ19" s="85" t="str">
        <x:f>IF(COUNT(AJ15:AJ18)=4,SUM(AJ15:AJ18),"n.a.")</x:f>
        <x:v>n.a.</x:v>
      </x:c>
      <x:c r="AK19" s="85" t="str">
        <x:f>IF(COUNT(AK15:AK18)=4,SUM(AK15:AK18),"n.a.")</x:f>
        <x:v>n.a.</x:v>
      </x:c>
      <x:c r="AL19" s="85" t="str">
        <x:f>IF(COUNT(AL15:AL18)=4,SUM(AL15:AL18),"n.a.")</x:f>
        <x:v>n.a.</x:v>
      </x:c>
      <x:c r="AM19" s="85" t="str">
        <x:f>IF(COUNT(AM15:AM18)=4,SUM(AM15:AM18),"n.a.")</x:f>
        <x:v>n.a.</x:v>
      </x:c>
      <x:c r="AN19" s="85" t="str">
        <x:f>IF(COUNT(AN15:AN18)=4,SUM(AN15:AN18),"n.a.")</x:f>
        <x:v>n.a.</x:v>
      </x:c>
      <x:c r="AO19" s="85" t="str">
        <x:f>IF(COUNT(AO15:AO18)=4,SUM(AO15:AO18),"n.a.")</x:f>
        <x:v>n.a.</x:v>
      </x:c>
      <x:c r="AP19" s="85" t="str">
        <x:f>IF(COUNT(AP15:AP18)=4,SUM(AP15:AP18),"n.a.")</x:f>
        <x:v>n.a.</x:v>
      </x:c>
      <x:c r="AQ19" s="85" t="str">
        <x:f>IF(COUNT(AQ15:AQ18)=4,SUM(AQ15:AQ18),"n.a.")</x:f>
        <x:v>n.a.</x:v>
      </x:c>
      <x:c r="AR19" s="85" t="str">
        <x:f>IF(COUNT(AR15:AR18)=4,SUM(AR15:AR18),"n.a.")</x:f>
        <x:v>n.a.</x:v>
      </x:c>
      <x:c r="AS19" s="85" t="str">
        <x:f>IF(COUNT(AS15:AS18)=4,SUM(AS15:AS18),"n.a.")</x:f>
        <x:v>n.a.</x:v>
      </x:c>
      <x:c r="AT19" s="85" t="str">
        <x:f>IF(COUNT(AT15:AT18)=4,SUM(AT15:AT18),"n.a.")</x:f>
        <x:v>n.a.</x:v>
      </x:c>
      <x:c r="AU19" s="85" t="str">
        <x:f>IF(COUNT(AU15:AU18)=4,SUM(AU15:AU18),"n.a.")</x:f>
        <x:v>n.a.</x:v>
      </x:c>
      <x:c r="AV19" s="85" t="str">
        <x:f>IF(COUNT(AV15:AV18)=4,SUM(AV15:AV18),"n.a.")</x:f>
        <x:v>n.a.</x:v>
      </x:c>
      <x:c r="AW19" s="85" t="str">
        <x:f>IF(COUNT(AW15:AW18)=4,SUM(AW15:AW18),"n.a.")</x:f>
        <x:v>n.a.</x:v>
      </x:c>
      <x:c r="AX19" s="85" t="str">
        <x:f>IF(COUNT(AX15:AX18)=4,SUM(AX15:AX18),"n.a.")</x:f>
        <x:v>n.a.</x:v>
      </x:c>
      <x:c r="AY19" s="85" t="str">
        <x:f>IF(COUNT(AY15:AY18)=4,SUM(AY15:AY18),"n.a.")</x:f>
        <x:v>n.a.</x:v>
      </x:c>
      <x:c r="AZ19" s="85" t="str">
        <x:f>IF(COUNT(AZ15:AZ18)=4,SUM(AZ15:AZ18),"n.a.")</x:f>
        <x:v>n.a.</x:v>
      </x:c>
      <x:c r="BA19" s="85" t="str">
        <x:f>IF(COUNT(BA15:BA18)=4,SUM(BA15:BA18),"n.a.")</x:f>
        <x:v>n.a.</x:v>
      </x:c>
      <x:c r="BB19" s="85" t="str">
        <x:f>IF(COUNT(BB15:BB18)=4,SUM(BB15:BB18),"n.a.")</x:f>
        <x:v>n.a.</x:v>
      </x:c>
      <x:c r="BC19" s="85" t="str">
        <x:f>IF(COUNT(BC15:BC18)=4,SUM(BC15:BC18),"n.a.")</x:f>
        <x:v>n.a.</x:v>
      </x:c>
      <x:c r="BD19" s="85" t="str">
        <x:f>IF(COUNT(BD15:BD18)=4,SUM(BD15:BD18),"n.a.")</x:f>
        <x:v>n.a.</x:v>
      </x:c>
      <x:c r="BE19" s="85" t="str">
        <x:f>IF(COUNT(BE15:BE18)=4,SUM(BE15:BE18),"n.a.")</x:f>
        <x:v>n.a.</x:v>
      </x:c>
      <x:c r="BF19" s="85" t="str">
        <x:f>IF(COUNT(BF15:BF18)=4,SUM(BF15:BF18),"n.a.")</x:f>
        <x:v>n.a.</x:v>
      </x:c>
      <x:c r="BG19" s="85" t="str">
        <x:f>IF(COUNT(BG15:BG18)=4,SUM(BG15:BG18),"n.a.")</x:f>
        <x:v>n.a.</x:v>
      </x:c>
      <x:c r="BH19" s="85" t="str">
        <x:f>IF(COUNT(BH15:BH18)=4,SUM(BH15:BH18),"n.a.")</x:f>
        <x:v>n.a.</x:v>
      </x:c>
      <x:c r="BI19" s="85" t="str">
        <x:f>IF(COUNT(BI15:BI18)=4,SUM(BI15:BI18),"n.a.")</x:f>
        <x:v>n.a.</x:v>
      </x:c>
      <x:c r="BJ19" s="85" t="str">
        <x:f>IF(COUNT(BJ15:BJ18)=4,SUM(BJ15:BJ18),"n.a.")</x:f>
        <x:v>n.a.</x:v>
      </x:c>
      <x:c r="BK19" s="85" t="str">
        <x:f>IF(COUNT(BK15:BK18)=4,SUM(BK15:BK18),"n.a.")</x:f>
        <x:v>n.a.</x:v>
      </x:c>
      <x:c r="BL19" s="85" t="str">
        <x:f>IF(COUNT(BL15:BL18)=4,SUM(BL15:BL18),"n.a.")</x:f>
        <x:v>n.a.</x:v>
      </x:c>
      <x:c r="BM19" s="85" t="str">
        <x:f>IF(COUNT(BM15:BM18)=4,SUM(BM15:BM18),"n.a.")</x:f>
        <x:v>n.a.</x:v>
      </x:c>
      <x:c r="BN19" s="85" t="str">
        <x:f>IF(COUNT(BN15:BN18)=4,SUM(BN15:BN18),"n.a.")</x:f>
        <x:v>n.a.</x:v>
      </x:c>
      <x:c r="BO19" s="85" t="str">
        <x:f>IF(COUNT(BO15:BO18)=4,SUM(BO15:BO18),"n.a.")</x:f>
        <x:v>n.a.</x:v>
      </x:c>
      <x:c r="BP19" s="85" t="str">
        <x:f>IF(COUNT(BP15:BP18)=4,SUM(BP15:BP18),"n.a.")</x:f>
        <x:v>n.a.</x:v>
      </x:c>
      <x:c r="BQ19" s="85" t="str">
        <x:f>IF(COUNT(BQ15:BQ18)=4,SUM(BQ15:BQ18),"n.a.")</x:f>
        <x:v>n.a.</x:v>
      </x:c>
    </x:row>
    <x:row r="20" ht="25" customHeight="1">
      <x:c r="A20" s="2"/>
      <x:c r="B20" s="2"/>
      <x:c r="C20" s="84" t="str">
        <x:v>Gross profit</x:v>
      </x:c>
      <x:c r="D20" s="85" t="str">
        <x:f>IF(COUNT(J20:U20)=12,SUM(J20:U20),"n.a.")</x:f>
        <x:v>n.a.</x:v>
      </x:c>
      <x:c r="E20" s="85" t="str">
        <x:f>IF(COUNT(V20:AG20)=12,SUM(V20:AG20),"n.a.")</x:f>
        <x:v>n.a.</x:v>
      </x:c>
      <x:c r="F20" s="85" t="str">
        <x:f>IF(COUNT(AH20:AS20)=12,SUM(AH20:AS20),"n.a.")</x:f>
        <x:v>n.a.</x:v>
      </x:c>
      <x:c r="G20" s="85" t="str">
        <x:f>IF(COUNT(AT20:BE20)=12,SUM(AT20:BE20),"n.a.")</x:f>
        <x:v>n.a.</x:v>
      </x:c>
      <x:c r="H20" s="85" t="str">
        <x:f>IF(COUNT(BF20:BQ20)=12,SUM(BF20:BQ20),"n.a.")</x:f>
        <x:v>n.a.</x:v>
      </x:c>
      <x:c r="I20" s="85" t="str">
        <x:f>IF(ISNUMBER(I19),I12-I19,"n.a.")</x:f>
        <x:v>n.a.</x:v>
      </x:c>
      <x:c r="J20" s="85" t="str">
        <x:f>IF(ISNUMBER(J19),J12-J19,"n.a.")</x:f>
        <x:v>n.a.</x:v>
      </x:c>
      <x:c r="K20" s="85" t="str">
        <x:f>IF(ISNUMBER(K19),K12-K19,"n.a.")</x:f>
        <x:v>n.a.</x:v>
      </x:c>
      <x:c r="L20" s="85" t="str">
        <x:f>IF(ISNUMBER(L19),L12-L19,"n.a.")</x:f>
        <x:v>n.a.</x:v>
      </x:c>
      <x:c r="M20" s="85" t="str">
        <x:f>IF(ISNUMBER(M19),M12-M19,"n.a.")</x:f>
        <x:v>n.a.</x:v>
      </x:c>
      <x:c r="N20" s="85" t="str">
        <x:f>IF(ISNUMBER(N19),N12-N19,"n.a.")</x:f>
        <x:v>n.a.</x:v>
      </x:c>
      <x:c r="O20" s="85" t="str">
        <x:f>IF(ISNUMBER(O19),O12-O19,"n.a.")</x:f>
        <x:v>n.a.</x:v>
      </x:c>
      <x:c r="P20" s="85" t="str">
        <x:f>IF(ISNUMBER(P19),P12-P19,"n.a.")</x:f>
        <x:v>n.a.</x:v>
      </x:c>
      <x:c r="Q20" s="85" t="str">
        <x:f>IF(ISNUMBER(Q19),Q12-Q19,"n.a.")</x:f>
        <x:v>n.a.</x:v>
      </x:c>
      <x:c r="R20" s="85" t="str">
        <x:f>IF(ISNUMBER(R19),R12-R19,"n.a.")</x:f>
        <x:v>n.a.</x:v>
      </x:c>
      <x:c r="S20" s="85" t="str">
        <x:f>IF(ISNUMBER(S19),S12-S19,"n.a.")</x:f>
        <x:v>n.a.</x:v>
      </x:c>
      <x:c r="T20" s="85" t="str">
        <x:f>IF(ISNUMBER(T19),T12-T19,"n.a.")</x:f>
        <x:v>n.a.</x:v>
      </x:c>
      <x:c r="U20" s="85" t="str">
        <x:f>IF(ISNUMBER(U19),U12-U19,"n.a.")</x:f>
        <x:v>n.a.</x:v>
      </x:c>
      <x:c r="V20" s="85" t="str">
        <x:f>IF(ISNUMBER(V19),V12-V19,"n.a.")</x:f>
        <x:v>n.a.</x:v>
      </x:c>
      <x:c r="W20" s="85" t="str">
        <x:f>IF(ISNUMBER(W19),W12-W19,"n.a.")</x:f>
        <x:v>n.a.</x:v>
      </x:c>
      <x:c r="X20" s="85" t="str">
        <x:f>IF(ISNUMBER(X19),X12-X19,"n.a.")</x:f>
        <x:v>n.a.</x:v>
      </x:c>
      <x:c r="Y20" s="85" t="str">
        <x:f>IF(ISNUMBER(Y19),Y12-Y19,"n.a.")</x:f>
        <x:v>n.a.</x:v>
      </x:c>
      <x:c r="Z20" s="85" t="str">
        <x:f>IF(ISNUMBER(Z19),Z12-Z19,"n.a.")</x:f>
        <x:v>n.a.</x:v>
      </x:c>
      <x:c r="AA20" s="85" t="str">
        <x:f>IF(ISNUMBER(AA19),AA12-AA19,"n.a.")</x:f>
        <x:v>n.a.</x:v>
      </x:c>
      <x:c r="AB20" s="85" t="str">
        <x:f>IF(ISNUMBER(AB19),AB12-AB19,"n.a.")</x:f>
        <x:v>n.a.</x:v>
      </x:c>
      <x:c r="AC20" s="85" t="str">
        <x:f>IF(ISNUMBER(AC19),AC12-AC19,"n.a.")</x:f>
        <x:v>n.a.</x:v>
      </x:c>
      <x:c r="AD20" s="85" t="str">
        <x:f>IF(ISNUMBER(AD19),AD12-AD19,"n.a.")</x:f>
        <x:v>n.a.</x:v>
      </x:c>
      <x:c r="AE20" s="85" t="str">
        <x:f>IF(ISNUMBER(AE19),AE12-AE19,"n.a.")</x:f>
        <x:v>n.a.</x:v>
      </x:c>
      <x:c r="AF20" s="85" t="str">
        <x:f>IF(ISNUMBER(AF19),AF12-AF19,"n.a.")</x:f>
        <x:v>n.a.</x:v>
      </x:c>
      <x:c r="AG20" s="85" t="str">
        <x:f>IF(ISNUMBER(AG19),AG12-AG19,"n.a.")</x:f>
        <x:v>n.a.</x:v>
      </x:c>
      <x:c r="AH20" s="85" t="str">
        <x:f>IF(ISNUMBER(AH19),AH12-AH19,"n.a.")</x:f>
        <x:v>n.a.</x:v>
      </x:c>
      <x:c r="AI20" s="85" t="str">
        <x:f>IF(ISNUMBER(AI19),AI12-AI19,"n.a.")</x:f>
        <x:v>n.a.</x:v>
      </x:c>
      <x:c r="AJ20" s="85" t="str">
        <x:f>IF(ISNUMBER(AJ19),AJ12-AJ19,"n.a.")</x:f>
        <x:v>n.a.</x:v>
      </x:c>
      <x:c r="AK20" s="85" t="str">
        <x:f>IF(ISNUMBER(AK19),AK12-AK19,"n.a.")</x:f>
        <x:v>n.a.</x:v>
      </x:c>
      <x:c r="AL20" s="85" t="str">
        <x:f>IF(ISNUMBER(AL19),AL12-AL19,"n.a.")</x:f>
        <x:v>n.a.</x:v>
      </x:c>
      <x:c r="AM20" s="85" t="str">
        <x:f>IF(ISNUMBER(AM19),AM12-AM19,"n.a.")</x:f>
        <x:v>n.a.</x:v>
      </x:c>
      <x:c r="AN20" s="85" t="str">
        <x:f>IF(ISNUMBER(AN19),AN12-AN19,"n.a.")</x:f>
        <x:v>n.a.</x:v>
      </x:c>
      <x:c r="AO20" s="85" t="str">
        <x:f>IF(ISNUMBER(AO19),AO12-AO19,"n.a.")</x:f>
        <x:v>n.a.</x:v>
      </x:c>
      <x:c r="AP20" s="85" t="str">
        <x:f>IF(ISNUMBER(AP19),AP12-AP19,"n.a.")</x:f>
        <x:v>n.a.</x:v>
      </x:c>
      <x:c r="AQ20" s="85" t="str">
        <x:f>IF(ISNUMBER(AQ19),AQ12-AQ19,"n.a.")</x:f>
        <x:v>n.a.</x:v>
      </x:c>
      <x:c r="AR20" s="85" t="str">
        <x:f>IF(ISNUMBER(AR19),AR12-AR19,"n.a.")</x:f>
        <x:v>n.a.</x:v>
      </x:c>
      <x:c r="AS20" s="85" t="str">
        <x:f>IF(ISNUMBER(AS19),AS12-AS19,"n.a.")</x:f>
        <x:v>n.a.</x:v>
      </x:c>
      <x:c r="AT20" s="85" t="str">
        <x:f>IF(ISNUMBER(AT19),AT12-AT19,"n.a.")</x:f>
        <x:v>n.a.</x:v>
      </x:c>
      <x:c r="AU20" s="85" t="str">
        <x:f>IF(ISNUMBER(AU19),AU12-AU19,"n.a.")</x:f>
        <x:v>n.a.</x:v>
      </x:c>
      <x:c r="AV20" s="85" t="str">
        <x:f>IF(ISNUMBER(AV19),AV12-AV19,"n.a.")</x:f>
        <x:v>n.a.</x:v>
      </x:c>
      <x:c r="AW20" s="85" t="str">
        <x:f>IF(ISNUMBER(AW19),AW12-AW19,"n.a.")</x:f>
        <x:v>n.a.</x:v>
      </x:c>
      <x:c r="AX20" s="85" t="str">
        <x:f>IF(ISNUMBER(AX19),AX12-AX19,"n.a.")</x:f>
        <x:v>n.a.</x:v>
      </x:c>
      <x:c r="AY20" s="85" t="str">
        <x:f>IF(ISNUMBER(AY19),AY12-AY19,"n.a.")</x:f>
        <x:v>n.a.</x:v>
      </x:c>
      <x:c r="AZ20" s="85" t="str">
        <x:f>IF(ISNUMBER(AZ19),AZ12-AZ19,"n.a.")</x:f>
        <x:v>n.a.</x:v>
      </x:c>
      <x:c r="BA20" s="85" t="str">
        <x:f>IF(ISNUMBER(BA19),BA12-BA19,"n.a.")</x:f>
        <x:v>n.a.</x:v>
      </x:c>
      <x:c r="BB20" s="85" t="str">
        <x:f>IF(ISNUMBER(BB19),BB12-BB19,"n.a.")</x:f>
        <x:v>n.a.</x:v>
      </x:c>
      <x:c r="BC20" s="85" t="str">
        <x:f>IF(ISNUMBER(BC19),BC12-BC19,"n.a.")</x:f>
        <x:v>n.a.</x:v>
      </x:c>
      <x:c r="BD20" s="85" t="str">
        <x:f>IF(ISNUMBER(BD19),BD12-BD19,"n.a.")</x:f>
        <x:v>n.a.</x:v>
      </x:c>
      <x:c r="BE20" s="85" t="str">
        <x:f>IF(ISNUMBER(BE19),BE12-BE19,"n.a.")</x:f>
        <x:v>n.a.</x:v>
      </x:c>
      <x:c r="BF20" s="85" t="str">
        <x:f>IF(ISNUMBER(BF19),BF12-BF19,"n.a.")</x:f>
        <x:v>n.a.</x:v>
      </x:c>
      <x:c r="BG20" s="85" t="str">
        <x:f>IF(ISNUMBER(BG19),BG12-BG19,"n.a.")</x:f>
        <x:v>n.a.</x:v>
      </x:c>
      <x:c r="BH20" s="85" t="str">
        <x:f>IF(ISNUMBER(BH19),BH12-BH19,"n.a.")</x:f>
        <x:v>n.a.</x:v>
      </x:c>
      <x:c r="BI20" s="85" t="str">
        <x:f>IF(ISNUMBER(BI19),BI12-BI19,"n.a.")</x:f>
        <x:v>n.a.</x:v>
      </x:c>
      <x:c r="BJ20" s="85" t="str">
        <x:f>IF(ISNUMBER(BJ19),BJ12-BJ19,"n.a.")</x:f>
        <x:v>n.a.</x:v>
      </x:c>
      <x:c r="BK20" s="85" t="str">
        <x:f>IF(ISNUMBER(BK19),BK12-BK19,"n.a.")</x:f>
        <x:v>n.a.</x:v>
      </x:c>
      <x:c r="BL20" s="85" t="str">
        <x:f>IF(ISNUMBER(BL19),BL12-BL19,"n.a.")</x:f>
        <x:v>n.a.</x:v>
      </x:c>
      <x:c r="BM20" s="85" t="str">
        <x:f>IF(ISNUMBER(BM19),BM12-BM19,"n.a.")</x:f>
        <x:v>n.a.</x:v>
      </x:c>
      <x:c r="BN20" s="85" t="str">
        <x:f>IF(ISNUMBER(BN19),BN12-BN19,"n.a.")</x:f>
        <x:v>n.a.</x:v>
      </x:c>
      <x:c r="BO20" s="85" t="str">
        <x:f>IF(ISNUMBER(BO19),BO12-BO19,"n.a.")</x:f>
        <x:v>n.a.</x:v>
      </x:c>
      <x:c r="BP20" s="85" t="str">
        <x:f>IF(ISNUMBER(BP19),BP12-BP19,"n.a.")</x:f>
        <x:v>n.a.</x:v>
      </x:c>
      <x:c r="BQ20" s="85" t="str">
        <x:f>IF(ISNUMBER(BQ19),BQ12-BQ19,"n.a.")</x:f>
        <x:v>n.a.</x:v>
      </x:c>
    </x:row>
    <x:row r="21" ht="23" customHeight="1">
      <x:c r="A21" s="2"/>
      <x:c r="B21" s="2"/>
      <x:c r="C21" s="59" t="str">
        <x:v>Gross margin</x:v>
      </x:c>
      <x:c r="D21" s="73" t="str">
        <x:f>IF(AND(ISNUMBER(D20),D12&lt;&gt;0),D20/D12,"n.a.")</x:f>
        <x:v>n.a.</x:v>
      </x:c>
      <x:c r="E21" s="73" t="str">
        <x:f>IF(AND(ISNUMBER(E20),E12&lt;&gt;0),E20/E12,"n.a.")</x:f>
        <x:v>n.a.</x:v>
      </x:c>
      <x:c r="F21" s="73" t="str">
        <x:f>IF(AND(ISNUMBER(F20),F12&lt;&gt;0),F20/F12,"n.a.")</x:f>
        <x:v>n.a.</x:v>
      </x:c>
      <x:c r="G21" s="73" t="str">
        <x:f>IF(AND(ISNUMBER(G20),G12&lt;&gt;0),G20/G12,"n.a.")</x:f>
        <x:v>n.a.</x:v>
      </x:c>
      <x:c r="H21" s="73" t="str">
        <x:f>IF(AND(ISNUMBER(H20),H12&lt;&gt;0),H20/H12,"n.a.")</x:f>
        <x:v>n.a.</x:v>
      </x:c>
      <x:c r="I21" s="73" t="str">
        <x:f>IF(AND(ISNUMBER(I20),I12&lt;&gt;0),I20/I12,"n.a.")</x:f>
        <x:v>n.a.</x:v>
      </x:c>
      <x:c r="J21" s="73" t="str">
        <x:f>IF(AND(ISNUMBER(J20),J12&lt;&gt;0),J20/J12,"n.a.")</x:f>
        <x:v>n.a.</x:v>
      </x:c>
      <x:c r="K21" s="73" t="str">
        <x:f>IF(AND(ISNUMBER(K20),K12&lt;&gt;0),K20/K12,"n.a.")</x:f>
        <x:v>n.a.</x:v>
      </x:c>
      <x:c r="L21" s="73" t="str">
        <x:f>IF(AND(ISNUMBER(L20),L12&lt;&gt;0),L20/L12,"n.a.")</x:f>
        <x:v>n.a.</x:v>
      </x:c>
      <x:c r="M21" s="73" t="str">
        <x:f>IF(AND(ISNUMBER(M20),M12&lt;&gt;0),M20/M12,"n.a.")</x:f>
        <x:v>n.a.</x:v>
      </x:c>
      <x:c r="N21" s="73" t="str">
        <x:f>IF(AND(ISNUMBER(N20),N12&lt;&gt;0),N20/N12,"n.a.")</x:f>
        <x:v>n.a.</x:v>
      </x:c>
      <x:c r="O21" s="73" t="str">
        <x:f>IF(AND(ISNUMBER(O20),O12&lt;&gt;0),O20/O12,"n.a.")</x:f>
        <x:v>n.a.</x:v>
      </x:c>
      <x:c r="P21" s="73" t="str">
        <x:f>IF(AND(ISNUMBER(P20),P12&lt;&gt;0),P20/P12,"n.a.")</x:f>
        <x:v>n.a.</x:v>
      </x:c>
      <x:c r="Q21" s="73" t="str">
        <x:f>IF(AND(ISNUMBER(Q20),Q12&lt;&gt;0),Q20/Q12,"n.a.")</x:f>
        <x:v>n.a.</x:v>
      </x:c>
      <x:c r="R21" s="73" t="str">
        <x:f>IF(AND(ISNUMBER(R20),R12&lt;&gt;0),R20/R12,"n.a.")</x:f>
        <x:v>n.a.</x:v>
      </x:c>
      <x:c r="S21" s="73" t="str">
        <x:f>IF(AND(ISNUMBER(S20),S12&lt;&gt;0),S20/S12,"n.a.")</x:f>
        <x:v>n.a.</x:v>
      </x:c>
      <x:c r="T21" s="73" t="str">
        <x:f>IF(AND(ISNUMBER(T20),T12&lt;&gt;0),T20/T12,"n.a.")</x:f>
        <x:v>n.a.</x:v>
      </x:c>
      <x:c r="U21" s="73" t="str">
        <x:f>IF(AND(ISNUMBER(U20),U12&lt;&gt;0),U20/U12,"n.a.")</x:f>
        <x:v>n.a.</x:v>
      </x:c>
      <x:c r="V21" s="73" t="str">
        <x:f>IF(AND(ISNUMBER(V20),V12&lt;&gt;0),V20/V12,"n.a.")</x:f>
        <x:v>n.a.</x:v>
      </x:c>
      <x:c r="W21" s="73" t="str">
        <x:f>IF(AND(ISNUMBER(W20),W12&lt;&gt;0),W20/W12,"n.a.")</x:f>
        <x:v>n.a.</x:v>
      </x:c>
      <x:c r="X21" s="73" t="str">
        <x:f>IF(AND(ISNUMBER(X20),X12&lt;&gt;0),X20/X12,"n.a.")</x:f>
        <x:v>n.a.</x:v>
      </x:c>
      <x:c r="Y21" s="73" t="str">
        <x:f>IF(AND(ISNUMBER(Y20),Y12&lt;&gt;0),Y20/Y12,"n.a.")</x:f>
        <x:v>n.a.</x:v>
      </x:c>
      <x:c r="Z21" s="73" t="str">
        <x:f>IF(AND(ISNUMBER(Z20),Z12&lt;&gt;0),Z20/Z12,"n.a.")</x:f>
        <x:v>n.a.</x:v>
      </x:c>
      <x:c r="AA21" s="73" t="str">
        <x:f>IF(AND(ISNUMBER(AA20),AA12&lt;&gt;0),AA20/AA12,"n.a.")</x:f>
        <x:v>n.a.</x:v>
      </x:c>
      <x:c r="AB21" s="73" t="str">
        <x:f>IF(AND(ISNUMBER(AB20),AB12&lt;&gt;0),AB20/AB12,"n.a.")</x:f>
        <x:v>n.a.</x:v>
      </x:c>
      <x:c r="AC21" s="73" t="str">
        <x:f>IF(AND(ISNUMBER(AC20),AC12&lt;&gt;0),AC20/AC12,"n.a.")</x:f>
        <x:v>n.a.</x:v>
      </x:c>
      <x:c r="AD21" s="73" t="str">
        <x:f>IF(AND(ISNUMBER(AD20),AD12&lt;&gt;0),AD20/AD12,"n.a.")</x:f>
        <x:v>n.a.</x:v>
      </x:c>
      <x:c r="AE21" s="73" t="str">
        <x:f>IF(AND(ISNUMBER(AE20),AE12&lt;&gt;0),AE20/AE12,"n.a.")</x:f>
        <x:v>n.a.</x:v>
      </x:c>
      <x:c r="AF21" s="73" t="str">
        <x:f>IF(AND(ISNUMBER(AF20),AF12&lt;&gt;0),AF20/AF12,"n.a.")</x:f>
        <x:v>n.a.</x:v>
      </x:c>
      <x:c r="AG21" s="73" t="str">
        <x:f>IF(AND(ISNUMBER(AG20),AG12&lt;&gt;0),AG20/AG12,"n.a.")</x:f>
        <x:v>n.a.</x:v>
      </x:c>
      <x:c r="AH21" s="73" t="str">
        <x:f>IF(AND(ISNUMBER(AH20),AH12&lt;&gt;0),AH20/AH12,"n.a.")</x:f>
        <x:v>n.a.</x:v>
      </x:c>
      <x:c r="AI21" s="73" t="str">
        <x:f>IF(AND(ISNUMBER(AI20),AI12&lt;&gt;0),AI20/AI12,"n.a.")</x:f>
        <x:v>n.a.</x:v>
      </x:c>
      <x:c r="AJ21" s="73" t="str">
        <x:f>IF(AND(ISNUMBER(AJ20),AJ12&lt;&gt;0),AJ20/AJ12,"n.a.")</x:f>
        <x:v>n.a.</x:v>
      </x:c>
      <x:c r="AK21" s="73" t="str">
        <x:f>IF(AND(ISNUMBER(AK20),AK12&lt;&gt;0),AK20/AK12,"n.a.")</x:f>
        <x:v>n.a.</x:v>
      </x:c>
      <x:c r="AL21" s="73" t="str">
        <x:f>IF(AND(ISNUMBER(AL20),AL12&lt;&gt;0),AL20/AL12,"n.a.")</x:f>
        <x:v>n.a.</x:v>
      </x:c>
      <x:c r="AM21" s="73" t="str">
        <x:f>IF(AND(ISNUMBER(AM20),AM12&lt;&gt;0),AM20/AM12,"n.a.")</x:f>
        <x:v>n.a.</x:v>
      </x:c>
      <x:c r="AN21" s="73" t="str">
        <x:f>IF(AND(ISNUMBER(AN20),AN12&lt;&gt;0),AN20/AN12,"n.a.")</x:f>
        <x:v>n.a.</x:v>
      </x:c>
      <x:c r="AO21" s="73" t="str">
        <x:f>IF(AND(ISNUMBER(AO20),AO12&lt;&gt;0),AO20/AO12,"n.a.")</x:f>
        <x:v>n.a.</x:v>
      </x:c>
      <x:c r="AP21" s="73" t="str">
        <x:f>IF(AND(ISNUMBER(AP20),AP12&lt;&gt;0),AP20/AP12,"n.a.")</x:f>
        <x:v>n.a.</x:v>
      </x:c>
      <x:c r="AQ21" s="73" t="str">
        <x:f>IF(AND(ISNUMBER(AQ20),AQ12&lt;&gt;0),AQ20/AQ12,"n.a.")</x:f>
        <x:v>n.a.</x:v>
      </x:c>
      <x:c r="AR21" s="73" t="str">
        <x:f>IF(AND(ISNUMBER(AR20),AR12&lt;&gt;0),AR20/AR12,"n.a.")</x:f>
        <x:v>n.a.</x:v>
      </x:c>
      <x:c r="AS21" s="73" t="str">
        <x:f>IF(AND(ISNUMBER(AS20),AS12&lt;&gt;0),AS20/AS12,"n.a.")</x:f>
        <x:v>n.a.</x:v>
      </x:c>
      <x:c r="AT21" s="73" t="str">
        <x:f>IF(AND(ISNUMBER(AT20),AT12&lt;&gt;0),AT20/AT12,"n.a.")</x:f>
        <x:v>n.a.</x:v>
      </x:c>
      <x:c r="AU21" s="73" t="str">
        <x:f>IF(AND(ISNUMBER(AU20),AU12&lt;&gt;0),AU20/AU12,"n.a.")</x:f>
        <x:v>n.a.</x:v>
      </x:c>
      <x:c r="AV21" s="73" t="str">
        <x:f>IF(AND(ISNUMBER(AV20),AV12&lt;&gt;0),AV20/AV12,"n.a.")</x:f>
        <x:v>n.a.</x:v>
      </x:c>
      <x:c r="AW21" s="73" t="str">
        <x:f>IF(AND(ISNUMBER(AW20),AW12&lt;&gt;0),AW20/AW12,"n.a.")</x:f>
        <x:v>n.a.</x:v>
      </x:c>
      <x:c r="AX21" s="73" t="str">
        <x:f>IF(AND(ISNUMBER(AX20),AX12&lt;&gt;0),AX20/AX12,"n.a.")</x:f>
        <x:v>n.a.</x:v>
      </x:c>
      <x:c r="AY21" s="73" t="str">
        <x:f>IF(AND(ISNUMBER(AY20),AY12&lt;&gt;0),AY20/AY12,"n.a.")</x:f>
        <x:v>n.a.</x:v>
      </x:c>
      <x:c r="AZ21" s="73" t="str">
        <x:f>IF(AND(ISNUMBER(AZ20),AZ12&lt;&gt;0),AZ20/AZ12,"n.a.")</x:f>
        <x:v>n.a.</x:v>
      </x:c>
      <x:c r="BA21" s="73" t="str">
        <x:f>IF(AND(ISNUMBER(BA20),BA12&lt;&gt;0),BA20/BA12,"n.a.")</x:f>
        <x:v>n.a.</x:v>
      </x:c>
      <x:c r="BB21" s="73" t="str">
        <x:f>IF(AND(ISNUMBER(BB20),BB12&lt;&gt;0),BB20/BB12,"n.a.")</x:f>
        <x:v>n.a.</x:v>
      </x:c>
      <x:c r="BC21" s="73" t="str">
        <x:f>IF(AND(ISNUMBER(BC20),BC12&lt;&gt;0),BC20/BC12,"n.a.")</x:f>
        <x:v>n.a.</x:v>
      </x:c>
      <x:c r="BD21" s="73" t="str">
        <x:f>IF(AND(ISNUMBER(BD20),BD12&lt;&gt;0),BD20/BD12,"n.a.")</x:f>
        <x:v>n.a.</x:v>
      </x:c>
      <x:c r="BE21" s="73" t="str">
        <x:f>IF(AND(ISNUMBER(BE20),BE12&lt;&gt;0),BE20/BE12,"n.a.")</x:f>
        <x:v>n.a.</x:v>
      </x:c>
      <x:c r="BF21" s="73" t="str">
        <x:f>IF(AND(ISNUMBER(BF20),BF12&lt;&gt;0),BF20/BF12,"n.a.")</x:f>
        <x:v>n.a.</x:v>
      </x:c>
      <x:c r="BG21" s="73" t="str">
        <x:f>IF(AND(ISNUMBER(BG20),BG12&lt;&gt;0),BG20/BG12,"n.a.")</x:f>
        <x:v>n.a.</x:v>
      </x:c>
      <x:c r="BH21" s="73" t="str">
        <x:f>IF(AND(ISNUMBER(BH20),BH12&lt;&gt;0),BH20/BH12,"n.a.")</x:f>
        <x:v>n.a.</x:v>
      </x:c>
      <x:c r="BI21" s="73" t="str">
        <x:f>IF(AND(ISNUMBER(BI20),BI12&lt;&gt;0),BI20/BI12,"n.a.")</x:f>
        <x:v>n.a.</x:v>
      </x:c>
      <x:c r="BJ21" s="73" t="str">
        <x:f>IF(AND(ISNUMBER(BJ20),BJ12&lt;&gt;0),BJ20/BJ12,"n.a.")</x:f>
        <x:v>n.a.</x:v>
      </x:c>
      <x:c r="BK21" s="73" t="str">
        <x:f>IF(AND(ISNUMBER(BK20),BK12&lt;&gt;0),BK20/BK12,"n.a.")</x:f>
        <x:v>n.a.</x:v>
      </x:c>
      <x:c r="BL21" s="73" t="str">
        <x:f>IF(AND(ISNUMBER(BL20),BL12&lt;&gt;0),BL20/BL12,"n.a.")</x:f>
        <x:v>n.a.</x:v>
      </x:c>
      <x:c r="BM21" s="73" t="str">
        <x:f>IF(AND(ISNUMBER(BM20),BM12&lt;&gt;0),BM20/BM12,"n.a.")</x:f>
        <x:v>n.a.</x:v>
      </x:c>
      <x:c r="BN21" s="73" t="str">
        <x:f>IF(AND(ISNUMBER(BN20),BN12&lt;&gt;0),BN20/BN12,"n.a.")</x:f>
        <x:v>n.a.</x:v>
      </x:c>
      <x:c r="BO21" s="73" t="str">
        <x:f>IF(AND(ISNUMBER(BO20),BO12&lt;&gt;0),BO20/BO12,"n.a.")</x:f>
        <x:v>n.a.</x:v>
      </x:c>
      <x:c r="BP21" s="73" t="str">
        <x:f>IF(AND(ISNUMBER(BP20),BP12&lt;&gt;0),BP20/BP12,"n.a.")</x:f>
        <x:v>n.a.</x:v>
      </x:c>
      <x:c r="BQ21" s="73" t="str">
        <x:f>IF(AND(ISNUMBER(BQ20),BQ12&lt;&gt;0),BQ20/BQ12,"n.a.")</x:f>
        <x:v>n.a.</x:v>
      </x:c>
    </x:row>
    <x:row r="22" ht="23" customHeight="1">
      <x:c r="A22" s="2"/>
      <x:c r="B22" s="2"/>
      <x:c r="C22" s="2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  <x:c r="AQ22" s="4"/>
      <x:c r="AR22" s="4"/>
      <x:c r="AS22" s="4"/>
      <x:c r="AT22" s="4"/>
      <x:c r="AU22" s="4"/>
      <x:c r="AV22" s="4"/>
      <x:c r="AW22" s="4"/>
      <x:c r="AX22" s="4"/>
      <x:c r="AY22" s="4"/>
      <x:c r="AZ22" s="4"/>
      <x:c r="BA22" s="4"/>
      <x:c r="BB22" s="4"/>
      <x:c r="BC22" s="4"/>
      <x:c r="BD22" s="4"/>
      <x:c r="BE22" s="4"/>
      <x:c r="BF22" s="4"/>
      <x:c r="BG22" s="4"/>
      <x:c r="BH22" s="4"/>
      <x:c r="BI22" s="4"/>
      <x:c r="BJ22" s="4"/>
      <x:c r="BK22" s="4"/>
      <x:c r="BL22" s="4"/>
      <x:c r="BM22" s="4"/>
      <x:c r="BN22" s="4"/>
      <x:c r="BO22" s="4"/>
      <x:c r="BP22" s="4"/>
      <x:c r="BQ22" s="4"/>
    </x:row>
    <x:row r="23" ht="23" customHeight="1">
      <x:c r="A23" s="2"/>
      <x:c r="B23" s="2"/>
      <x:c r="C23" s="2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  <x:c r="AQ23" s="4"/>
      <x:c r="AR23" s="4"/>
      <x:c r="AS23" s="4"/>
      <x:c r="AT23" s="4"/>
      <x:c r="AU23" s="4"/>
      <x:c r="AV23" s="4"/>
      <x:c r="AW23" s="4"/>
      <x:c r="AX23" s="4"/>
      <x:c r="AY23" s="4"/>
      <x:c r="AZ23" s="4"/>
      <x:c r="BA23" s="4"/>
      <x:c r="BB23" s="4"/>
      <x:c r="BC23" s="4"/>
      <x:c r="BD23" s="4"/>
      <x:c r="BE23" s="4"/>
      <x:c r="BF23" s="4"/>
      <x:c r="BG23" s="4"/>
      <x:c r="BH23" s="4"/>
      <x:c r="BI23" s="4"/>
      <x:c r="BJ23" s="4"/>
      <x:c r="BK23" s="4"/>
      <x:c r="BL23" s="4"/>
      <x:c r="BM23" s="4"/>
      <x:c r="BN23" s="4"/>
      <x:c r="BO23" s="4"/>
      <x:c r="BP23" s="4"/>
      <x:c r="BQ23" s="4"/>
    </x:row>
    <x:row r="24" ht="23" customHeight="1">
      <x:c r="A24" s="2"/>
      <x:c r="B24" s="2"/>
      <x:c r="C24" s="2" t="str">
        <x:v>Partner commissions</x:v>
      </x:c>
      <x:c r="D24" s="79" t="str">
        <x:f>IF(COUNT(J24:U24)=12,SUM(J24:U24),"n.a.")</x:f>
        <x:v>n.a.</x:v>
      </x:c>
      <x:c r="E24" s="79" t="str">
        <x:f>IF(COUNT(V24:AG24)=12,SUM(V24:AG24),"n.a.")</x:f>
        <x:v>n.a.</x:v>
      </x:c>
      <x:c r="F24" s="79" t="str">
        <x:f>IF(COUNT(AH24:AS24)=12,SUM(AH24:AS24),"n.a.")</x:f>
        <x:v>n.a.</x:v>
      </x:c>
      <x:c r="G24" s="79" t="str">
        <x:f>IF(COUNT(AT24:BE24)=12,SUM(AT24:BE24),"n.a.")</x:f>
        <x:v>n.a.</x:v>
      </x:c>
      <x:c r="H24" s="79" t="str">
        <x:f>IF(COUNT(BF24:BQ24)=12,SUM(BF24:BQ24),"n.a.")</x:f>
        <x:v>n.a.</x:v>
      </x:c>
      <x:c r="I24" s="86" t="str">
        <x:f>IF(COUNT('Assumptions'!D33,'Assumptions'!D34)=2,SUM(I8:I9)*'Assumptions'!D33*'Assumptions'!D34,"n.a.")</x:f>
        <x:v>n.a.</x:v>
      </x:c>
      <x:c r="J24" s="86" t="str">
        <x:f>IF(COUNT('Assumptions'!D33,'Assumptions'!D34)=2,SUM(J8:J9)*'Assumptions'!D33*'Assumptions'!D34,"n.a.")</x:f>
        <x:v>n.a.</x:v>
      </x:c>
      <x:c r="K24" s="86" t="str">
        <x:f>IF(COUNT('Assumptions'!D33,'Assumptions'!D34)=2,SUM(K8:K9)*'Assumptions'!D33*'Assumptions'!D34,"n.a.")</x:f>
        <x:v>n.a.</x:v>
      </x:c>
      <x:c r="L24" s="86" t="str">
        <x:f>IF(COUNT('Assumptions'!D33,'Assumptions'!D34)=2,SUM(L8:L9)*'Assumptions'!D33*'Assumptions'!D34,"n.a.")</x:f>
        <x:v>n.a.</x:v>
      </x:c>
      <x:c r="M24" s="86" t="str">
        <x:f>IF(COUNT('Assumptions'!D33,'Assumptions'!D34)=2,SUM(M8:M9)*'Assumptions'!D33*'Assumptions'!D34,"n.a.")</x:f>
        <x:v>n.a.</x:v>
      </x:c>
      <x:c r="N24" s="86" t="str">
        <x:f>IF(COUNT('Assumptions'!D33,'Assumptions'!D34)=2,SUM(N8:N9)*'Assumptions'!D33*'Assumptions'!D34,"n.a.")</x:f>
        <x:v>n.a.</x:v>
      </x:c>
      <x:c r="O24" s="86" t="str">
        <x:f>IF(COUNT('Assumptions'!D33,'Assumptions'!D34)=2,SUM(O8:O9)*'Assumptions'!D33*'Assumptions'!D34,"n.a.")</x:f>
        <x:v>n.a.</x:v>
      </x:c>
      <x:c r="P24" s="86" t="str">
        <x:f>IF(COUNT('Assumptions'!D33,'Assumptions'!D34)=2,SUM(P8:P9)*'Assumptions'!D33*'Assumptions'!D34,"n.a.")</x:f>
        <x:v>n.a.</x:v>
      </x:c>
      <x:c r="Q24" s="86" t="str">
        <x:f>IF(COUNT('Assumptions'!D33,'Assumptions'!D34)=2,SUM(Q8:Q9)*'Assumptions'!D33*'Assumptions'!D34,"n.a.")</x:f>
        <x:v>n.a.</x:v>
      </x:c>
      <x:c r="R24" s="86" t="str">
        <x:f>IF(COUNT('Assumptions'!D33,'Assumptions'!D34)=2,SUM(R8:R9)*'Assumptions'!D33*'Assumptions'!D34,"n.a.")</x:f>
        <x:v>n.a.</x:v>
      </x:c>
      <x:c r="S24" s="86" t="str">
        <x:f>IF(COUNT('Assumptions'!D33,'Assumptions'!D34)=2,SUM(S8:S9)*'Assumptions'!D33*'Assumptions'!D34,"n.a.")</x:f>
        <x:v>n.a.</x:v>
      </x:c>
      <x:c r="T24" s="86" t="str">
        <x:f>IF(COUNT('Assumptions'!D33,'Assumptions'!D34)=2,SUM(T8:T9)*'Assumptions'!D33*'Assumptions'!D34,"n.a.")</x:f>
        <x:v>n.a.</x:v>
      </x:c>
      <x:c r="U24" s="86" t="str">
        <x:f>IF(COUNT('Assumptions'!D33,'Assumptions'!D34)=2,SUM(U8:U9)*'Assumptions'!D33*'Assumptions'!D34,"n.a.")</x:f>
        <x:v>n.a.</x:v>
      </x:c>
      <x:c r="V24" s="86" t="str">
        <x:f>IF(COUNT('Assumptions'!E33,'Assumptions'!E34)=2,SUM(V8:V9)*'Assumptions'!E33*'Assumptions'!E34,"n.a.")</x:f>
        <x:v>n.a.</x:v>
      </x:c>
      <x:c r="W24" s="86" t="str">
        <x:f>IF(COUNT('Assumptions'!E33,'Assumptions'!E34)=2,SUM(W8:W9)*'Assumptions'!E33*'Assumptions'!E34,"n.a.")</x:f>
        <x:v>n.a.</x:v>
      </x:c>
      <x:c r="X24" s="86" t="str">
        <x:f>IF(COUNT('Assumptions'!E33,'Assumptions'!E34)=2,SUM(X8:X9)*'Assumptions'!E33*'Assumptions'!E34,"n.a.")</x:f>
        <x:v>n.a.</x:v>
      </x:c>
      <x:c r="Y24" s="86" t="str">
        <x:f>IF(COUNT('Assumptions'!E33,'Assumptions'!E34)=2,SUM(Y8:Y9)*'Assumptions'!E33*'Assumptions'!E34,"n.a.")</x:f>
        <x:v>n.a.</x:v>
      </x:c>
      <x:c r="Z24" s="86" t="str">
        <x:f>IF(COUNT('Assumptions'!E33,'Assumptions'!E34)=2,SUM(Z8:Z9)*'Assumptions'!E33*'Assumptions'!E34,"n.a.")</x:f>
        <x:v>n.a.</x:v>
      </x:c>
      <x:c r="AA24" s="86" t="str">
        <x:f>IF(COUNT('Assumptions'!E33,'Assumptions'!E34)=2,SUM(AA8:AA9)*'Assumptions'!E33*'Assumptions'!E34,"n.a.")</x:f>
        <x:v>n.a.</x:v>
      </x:c>
      <x:c r="AB24" s="86" t="str">
        <x:f>IF(COUNT('Assumptions'!E33,'Assumptions'!E34)=2,SUM(AB8:AB9)*'Assumptions'!E33*'Assumptions'!E34,"n.a.")</x:f>
        <x:v>n.a.</x:v>
      </x:c>
      <x:c r="AC24" s="86" t="str">
        <x:f>IF(COUNT('Assumptions'!E33,'Assumptions'!E34)=2,SUM(AC8:AC9)*'Assumptions'!E33*'Assumptions'!E34,"n.a.")</x:f>
        <x:v>n.a.</x:v>
      </x:c>
      <x:c r="AD24" s="86" t="str">
        <x:f>IF(COUNT('Assumptions'!E33,'Assumptions'!E34)=2,SUM(AD8:AD9)*'Assumptions'!E33*'Assumptions'!E34,"n.a.")</x:f>
        <x:v>n.a.</x:v>
      </x:c>
      <x:c r="AE24" s="86" t="str">
        <x:f>IF(COUNT('Assumptions'!E33,'Assumptions'!E34)=2,SUM(AE8:AE9)*'Assumptions'!E33*'Assumptions'!E34,"n.a.")</x:f>
        <x:v>n.a.</x:v>
      </x:c>
      <x:c r="AF24" s="86" t="str">
        <x:f>IF(COUNT('Assumptions'!E33,'Assumptions'!E34)=2,SUM(AF8:AF9)*'Assumptions'!E33*'Assumptions'!E34,"n.a.")</x:f>
        <x:v>n.a.</x:v>
      </x:c>
      <x:c r="AG24" s="86" t="str">
        <x:f>IF(COUNT('Assumptions'!E33,'Assumptions'!E34)=2,SUM(AG8:AG9)*'Assumptions'!E33*'Assumptions'!E34,"n.a.")</x:f>
        <x:v>n.a.</x:v>
      </x:c>
      <x:c r="AH24" s="86" t="str">
        <x:f>IF(COUNT('Assumptions'!F33,'Assumptions'!F34)=2,SUM(AH8:AH9)*'Assumptions'!F33*'Assumptions'!F34,"n.a.")</x:f>
        <x:v>n.a.</x:v>
      </x:c>
      <x:c r="AI24" s="86" t="str">
        <x:f>IF(COUNT('Assumptions'!F33,'Assumptions'!F34)=2,SUM(AI8:AI9)*'Assumptions'!F33*'Assumptions'!F34,"n.a.")</x:f>
        <x:v>n.a.</x:v>
      </x:c>
      <x:c r="AJ24" s="86" t="str">
        <x:f>IF(COUNT('Assumptions'!F33,'Assumptions'!F34)=2,SUM(AJ8:AJ9)*'Assumptions'!F33*'Assumptions'!F34,"n.a.")</x:f>
        <x:v>n.a.</x:v>
      </x:c>
      <x:c r="AK24" s="86" t="str">
        <x:f>IF(COUNT('Assumptions'!F33,'Assumptions'!F34)=2,SUM(AK8:AK9)*'Assumptions'!F33*'Assumptions'!F34,"n.a.")</x:f>
        <x:v>n.a.</x:v>
      </x:c>
      <x:c r="AL24" s="86" t="str">
        <x:f>IF(COUNT('Assumptions'!F33,'Assumptions'!F34)=2,SUM(AL8:AL9)*'Assumptions'!F33*'Assumptions'!F34,"n.a.")</x:f>
        <x:v>n.a.</x:v>
      </x:c>
      <x:c r="AM24" s="86" t="str">
        <x:f>IF(COUNT('Assumptions'!F33,'Assumptions'!F34)=2,SUM(AM8:AM9)*'Assumptions'!F33*'Assumptions'!F34,"n.a.")</x:f>
        <x:v>n.a.</x:v>
      </x:c>
      <x:c r="AN24" s="86" t="str">
        <x:f>IF(COUNT('Assumptions'!F33,'Assumptions'!F34)=2,SUM(AN8:AN9)*'Assumptions'!F33*'Assumptions'!F34,"n.a.")</x:f>
        <x:v>n.a.</x:v>
      </x:c>
      <x:c r="AO24" s="86" t="str">
        <x:f>IF(COUNT('Assumptions'!F33,'Assumptions'!F34)=2,SUM(AO8:AO9)*'Assumptions'!F33*'Assumptions'!F34,"n.a.")</x:f>
        <x:v>n.a.</x:v>
      </x:c>
      <x:c r="AP24" s="86" t="str">
        <x:f>IF(COUNT('Assumptions'!F33,'Assumptions'!F34)=2,SUM(AP8:AP9)*'Assumptions'!F33*'Assumptions'!F34,"n.a.")</x:f>
        <x:v>n.a.</x:v>
      </x:c>
      <x:c r="AQ24" s="86" t="str">
        <x:f>IF(COUNT('Assumptions'!F33,'Assumptions'!F34)=2,SUM(AQ8:AQ9)*'Assumptions'!F33*'Assumptions'!F34,"n.a.")</x:f>
        <x:v>n.a.</x:v>
      </x:c>
      <x:c r="AR24" s="86" t="str">
        <x:f>IF(COUNT('Assumptions'!F33,'Assumptions'!F34)=2,SUM(AR8:AR9)*'Assumptions'!F33*'Assumptions'!F34,"n.a.")</x:f>
        <x:v>n.a.</x:v>
      </x:c>
      <x:c r="AS24" s="86" t="str">
        <x:f>IF(COUNT('Assumptions'!F33,'Assumptions'!F34)=2,SUM(AS8:AS9)*'Assumptions'!F33*'Assumptions'!F34,"n.a.")</x:f>
        <x:v>n.a.</x:v>
      </x:c>
      <x:c r="AT24" s="86" t="str">
        <x:f>IF(COUNT('Assumptions'!G33,'Assumptions'!G34)=2,SUM(AT8:AT9)*'Assumptions'!G33*'Assumptions'!G34,"n.a.")</x:f>
        <x:v>n.a.</x:v>
      </x:c>
      <x:c r="AU24" s="86" t="str">
        <x:f>IF(COUNT('Assumptions'!G33,'Assumptions'!G34)=2,SUM(AU8:AU9)*'Assumptions'!G33*'Assumptions'!G34,"n.a.")</x:f>
        <x:v>n.a.</x:v>
      </x:c>
      <x:c r="AV24" s="86" t="str">
        <x:f>IF(COUNT('Assumptions'!G33,'Assumptions'!G34)=2,SUM(AV8:AV9)*'Assumptions'!G33*'Assumptions'!G34,"n.a.")</x:f>
        <x:v>n.a.</x:v>
      </x:c>
      <x:c r="AW24" s="86" t="str">
        <x:f>IF(COUNT('Assumptions'!G33,'Assumptions'!G34)=2,SUM(AW8:AW9)*'Assumptions'!G33*'Assumptions'!G34,"n.a.")</x:f>
        <x:v>n.a.</x:v>
      </x:c>
      <x:c r="AX24" s="86" t="str">
        <x:f>IF(COUNT('Assumptions'!G33,'Assumptions'!G34)=2,SUM(AX8:AX9)*'Assumptions'!G33*'Assumptions'!G34,"n.a.")</x:f>
        <x:v>n.a.</x:v>
      </x:c>
      <x:c r="AY24" s="86" t="str">
        <x:f>IF(COUNT('Assumptions'!G33,'Assumptions'!G34)=2,SUM(AY8:AY9)*'Assumptions'!G33*'Assumptions'!G34,"n.a.")</x:f>
        <x:v>n.a.</x:v>
      </x:c>
      <x:c r="AZ24" s="86" t="str">
        <x:f>IF(COUNT('Assumptions'!G33,'Assumptions'!G34)=2,SUM(AZ8:AZ9)*'Assumptions'!G33*'Assumptions'!G34,"n.a.")</x:f>
        <x:v>n.a.</x:v>
      </x:c>
      <x:c r="BA24" s="86" t="str">
        <x:f>IF(COUNT('Assumptions'!G33,'Assumptions'!G34)=2,SUM(BA8:BA9)*'Assumptions'!G33*'Assumptions'!G34,"n.a.")</x:f>
        <x:v>n.a.</x:v>
      </x:c>
      <x:c r="BB24" s="86" t="str">
        <x:f>IF(COUNT('Assumptions'!G33,'Assumptions'!G34)=2,SUM(BB8:BB9)*'Assumptions'!G33*'Assumptions'!G34,"n.a.")</x:f>
        <x:v>n.a.</x:v>
      </x:c>
      <x:c r="BC24" s="86" t="str">
        <x:f>IF(COUNT('Assumptions'!G33,'Assumptions'!G34)=2,SUM(BC8:BC9)*'Assumptions'!G33*'Assumptions'!G34,"n.a.")</x:f>
        <x:v>n.a.</x:v>
      </x:c>
      <x:c r="BD24" s="86" t="str">
        <x:f>IF(COUNT('Assumptions'!G33,'Assumptions'!G34)=2,SUM(BD8:BD9)*'Assumptions'!G33*'Assumptions'!G34,"n.a.")</x:f>
        <x:v>n.a.</x:v>
      </x:c>
      <x:c r="BE24" s="86" t="str">
        <x:f>IF(COUNT('Assumptions'!G33,'Assumptions'!G34)=2,SUM(BE8:BE9)*'Assumptions'!G33*'Assumptions'!G34,"n.a.")</x:f>
        <x:v>n.a.</x:v>
      </x:c>
      <x:c r="BF24" s="86" t="str">
        <x:f>IF(COUNT('Assumptions'!H33,'Assumptions'!H34)=2,SUM(BF8:BF9)*'Assumptions'!H33*'Assumptions'!H34,"n.a.")</x:f>
        <x:v>n.a.</x:v>
      </x:c>
      <x:c r="BG24" s="86" t="str">
        <x:f>IF(COUNT('Assumptions'!H33,'Assumptions'!H34)=2,SUM(BG8:BG9)*'Assumptions'!H33*'Assumptions'!H34,"n.a.")</x:f>
        <x:v>n.a.</x:v>
      </x:c>
      <x:c r="BH24" s="86" t="str">
        <x:f>IF(COUNT('Assumptions'!H33,'Assumptions'!H34)=2,SUM(BH8:BH9)*'Assumptions'!H33*'Assumptions'!H34,"n.a.")</x:f>
        <x:v>n.a.</x:v>
      </x:c>
      <x:c r="BI24" s="86" t="str">
        <x:f>IF(COUNT('Assumptions'!H33,'Assumptions'!H34)=2,SUM(BI8:BI9)*'Assumptions'!H33*'Assumptions'!H34,"n.a.")</x:f>
        <x:v>n.a.</x:v>
      </x:c>
      <x:c r="BJ24" s="86" t="str">
        <x:f>IF(COUNT('Assumptions'!H33,'Assumptions'!H34)=2,SUM(BJ8:BJ9)*'Assumptions'!H33*'Assumptions'!H34,"n.a.")</x:f>
        <x:v>n.a.</x:v>
      </x:c>
      <x:c r="BK24" s="86" t="str">
        <x:f>IF(COUNT('Assumptions'!H33,'Assumptions'!H34)=2,SUM(BK8:BK9)*'Assumptions'!H33*'Assumptions'!H34,"n.a.")</x:f>
        <x:v>n.a.</x:v>
      </x:c>
      <x:c r="BL24" s="86" t="str">
        <x:f>IF(COUNT('Assumptions'!H33,'Assumptions'!H34)=2,SUM(BL8:BL9)*'Assumptions'!H33*'Assumptions'!H34,"n.a.")</x:f>
        <x:v>n.a.</x:v>
      </x:c>
      <x:c r="BM24" s="86" t="str">
        <x:f>IF(COUNT('Assumptions'!H33,'Assumptions'!H34)=2,SUM(BM8:BM9)*'Assumptions'!H33*'Assumptions'!H34,"n.a.")</x:f>
        <x:v>n.a.</x:v>
      </x:c>
      <x:c r="BN24" s="86" t="str">
        <x:f>IF(COUNT('Assumptions'!H33,'Assumptions'!H34)=2,SUM(BN8:BN9)*'Assumptions'!H33*'Assumptions'!H34,"n.a.")</x:f>
        <x:v>n.a.</x:v>
      </x:c>
      <x:c r="BO24" s="86" t="str">
        <x:f>IF(COUNT('Assumptions'!H33,'Assumptions'!H34)=2,SUM(BO8:BO9)*'Assumptions'!H33*'Assumptions'!H34,"n.a.")</x:f>
        <x:v>n.a.</x:v>
      </x:c>
      <x:c r="BP24" s="86" t="str">
        <x:f>IF(COUNT('Assumptions'!H33,'Assumptions'!H34)=2,SUM(BP8:BP9)*'Assumptions'!H33*'Assumptions'!H34,"n.a.")</x:f>
        <x:v>n.a.</x:v>
      </x:c>
      <x:c r="BQ24" s="86" t="str">
        <x:f>IF(COUNT('Assumptions'!H33,'Assumptions'!H34)=2,SUM(BQ8:BQ9)*'Assumptions'!H33*'Assumptions'!H34,"n.a.")</x:f>
        <x:v>n.a.</x:v>
      </x:c>
    </x:row>
    <x:row r="25" ht="23" customHeight="1">
      <x:c r="A25" s="2"/>
      <x:c r="B25" s="2"/>
      <x:c r="C25" s="2" t="str">
        <x:v>Marketing spend</x:v>
      </x:c>
      <x:c r="D25" s="79" t="str">
        <x:f>IF(COUNT(J25:U25)=12,SUM(J25:U25),"n.a.")</x:f>
        <x:v>n.a.</x:v>
      </x:c>
      <x:c r="E25" s="79" t="str">
        <x:f>IF(COUNT(V25:AG25)=12,SUM(V25:AG25),"n.a.")</x:f>
        <x:v>n.a.</x:v>
      </x:c>
      <x:c r="F25" s="79" t="str">
        <x:f>IF(COUNT(AH25:AS25)=12,SUM(AH25:AS25),"n.a.")</x:f>
        <x:v>n.a.</x:v>
      </x:c>
      <x:c r="G25" s="79" t="str">
        <x:f>IF(COUNT(AT25:BE25)=12,SUM(AT25:BE25),"n.a.")</x:f>
        <x:v>n.a.</x:v>
      </x:c>
      <x:c r="H25" s="79" t="str">
        <x:f>IF(COUNT(BF25:BQ25)=12,SUM(BF25:BQ25),"n.a.")</x:f>
        <x:v>n.a.</x:v>
      </x:c>
      <x:c r="I25" s="86" t="str">
        <x:f>IF(ISNUMBER('Assumptions'!D35),'Assumptions'!D35,"n.a.")</x:f>
        <x:v>n.a.</x:v>
      </x:c>
      <x:c r="J25" s="86" t="str">
        <x:f>IF(ISNUMBER('Assumptions'!D35),'Assumptions'!D35,"n.a.")</x:f>
        <x:v>n.a.</x:v>
      </x:c>
      <x:c r="K25" s="86" t="str">
        <x:f>IF(ISNUMBER('Assumptions'!D35),'Assumptions'!D35,"n.a.")</x:f>
        <x:v>n.a.</x:v>
      </x:c>
      <x:c r="L25" s="86" t="str">
        <x:f>IF(ISNUMBER('Assumptions'!D35),'Assumptions'!D35,"n.a.")</x:f>
        <x:v>n.a.</x:v>
      </x:c>
      <x:c r="M25" s="86" t="str">
        <x:f>IF(ISNUMBER('Assumptions'!D35),'Assumptions'!D35,"n.a.")</x:f>
        <x:v>n.a.</x:v>
      </x:c>
      <x:c r="N25" s="86" t="str">
        <x:f>IF(ISNUMBER('Assumptions'!D35),'Assumptions'!D35,"n.a.")</x:f>
        <x:v>n.a.</x:v>
      </x:c>
      <x:c r="O25" s="86" t="str">
        <x:f>IF(ISNUMBER('Assumptions'!D35),'Assumptions'!D35,"n.a.")</x:f>
        <x:v>n.a.</x:v>
      </x:c>
      <x:c r="P25" s="86" t="str">
        <x:f>IF(ISNUMBER('Assumptions'!D35),'Assumptions'!D35,"n.a.")</x:f>
        <x:v>n.a.</x:v>
      </x:c>
      <x:c r="Q25" s="86" t="str">
        <x:f>IF(ISNUMBER('Assumptions'!D35),'Assumptions'!D35,"n.a.")</x:f>
        <x:v>n.a.</x:v>
      </x:c>
      <x:c r="R25" s="86" t="str">
        <x:f>IF(ISNUMBER('Assumptions'!D35),'Assumptions'!D35,"n.a.")</x:f>
        <x:v>n.a.</x:v>
      </x:c>
      <x:c r="S25" s="86" t="str">
        <x:f>IF(ISNUMBER('Assumptions'!D35),'Assumptions'!D35,"n.a.")</x:f>
        <x:v>n.a.</x:v>
      </x:c>
      <x:c r="T25" s="86" t="str">
        <x:f>IF(ISNUMBER('Assumptions'!D35),'Assumptions'!D35,"n.a.")</x:f>
        <x:v>n.a.</x:v>
      </x:c>
      <x:c r="U25" s="86" t="str">
        <x:f>IF(ISNUMBER('Assumptions'!D35),'Assumptions'!D35,"n.a.")</x:f>
        <x:v>n.a.</x:v>
      </x:c>
      <x:c r="V25" s="86" t="str">
        <x:f>IF(ISNUMBER('Assumptions'!E35),'Assumptions'!E35,"n.a.")</x:f>
        <x:v>n.a.</x:v>
      </x:c>
      <x:c r="W25" s="86" t="str">
        <x:f>IF(ISNUMBER('Assumptions'!E35),'Assumptions'!E35,"n.a.")</x:f>
        <x:v>n.a.</x:v>
      </x:c>
      <x:c r="X25" s="86" t="str">
        <x:f>IF(ISNUMBER('Assumptions'!E35),'Assumptions'!E35,"n.a.")</x:f>
        <x:v>n.a.</x:v>
      </x:c>
      <x:c r="Y25" s="86" t="str">
        <x:f>IF(ISNUMBER('Assumptions'!E35),'Assumptions'!E35,"n.a.")</x:f>
        <x:v>n.a.</x:v>
      </x:c>
      <x:c r="Z25" s="86" t="str">
        <x:f>IF(ISNUMBER('Assumptions'!E35),'Assumptions'!E35,"n.a.")</x:f>
        <x:v>n.a.</x:v>
      </x:c>
      <x:c r="AA25" s="86" t="str">
        <x:f>IF(ISNUMBER('Assumptions'!E35),'Assumptions'!E35,"n.a.")</x:f>
        <x:v>n.a.</x:v>
      </x:c>
      <x:c r="AB25" s="86" t="str">
        <x:f>IF(ISNUMBER('Assumptions'!E35),'Assumptions'!E35,"n.a.")</x:f>
        <x:v>n.a.</x:v>
      </x:c>
      <x:c r="AC25" s="86" t="str">
        <x:f>IF(ISNUMBER('Assumptions'!E35),'Assumptions'!E35,"n.a.")</x:f>
        <x:v>n.a.</x:v>
      </x:c>
      <x:c r="AD25" s="86" t="str">
        <x:f>IF(ISNUMBER('Assumptions'!E35),'Assumptions'!E35,"n.a.")</x:f>
        <x:v>n.a.</x:v>
      </x:c>
      <x:c r="AE25" s="86" t="str">
        <x:f>IF(ISNUMBER('Assumptions'!E35),'Assumptions'!E35,"n.a.")</x:f>
        <x:v>n.a.</x:v>
      </x:c>
      <x:c r="AF25" s="86" t="str">
        <x:f>IF(ISNUMBER('Assumptions'!E35),'Assumptions'!E35,"n.a.")</x:f>
        <x:v>n.a.</x:v>
      </x:c>
      <x:c r="AG25" s="86" t="str">
        <x:f>IF(ISNUMBER('Assumptions'!E35),'Assumptions'!E35,"n.a.")</x:f>
        <x:v>n.a.</x:v>
      </x:c>
      <x:c r="AH25" s="86" t="str">
        <x:f>IF(ISNUMBER('Assumptions'!F35),'Assumptions'!F35,"n.a.")</x:f>
        <x:v>n.a.</x:v>
      </x:c>
      <x:c r="AI25" s="86" t="str">
        <x:f>IF(ISNUMBER('Assumptions'!F35),'Assumptions'!F35,"n.a.")</x:f>
        <x:v>n.a.</x:v>
      </x:c>
      <x:c r="AJ25" s="86" t="str">
        <x:f>IF(ISNUMBER('Assumptions'!F35),'Assumptions'!F35,"n.a.")</x:f>
        <x:v>n.a.</x:v>
      </x:c>
      <x:c r="AK25" s="86" t="str">
        <x:f>IF(ISNUMBER('Assumptions'!F35),'Assumptions'!F35,"n.a.")</x:f>
        <x:v>n.a.</x:v>
      </x:c>
      <x:c r="AL25" s="86" t="str">
        <x:f>IF(ISNUMBER('Assumptions'!F35),'Assumptions'!F35,"n.a.")</x:f>
        <x:v>n.a.</x:v>
      </x:c>
      <x:c r="AM25" s="86" t="str">
        <x:f>IF(ISNUMBER('Assumptions'!F35),'Assumptions'!F35,"n.a.")</x:f>
        <x:v>n.a.</x:v>
      </x:c>
      <x:c r="AN25" s="86" t="str">
        <x:f>IF(ISNUMBER('Assumptions'!F35),'Assumptions'!F35,"n.a.")</x:f>
        <x:v>n.a.</x:v>
      </x:c>
      <x:c r="AO25" s="86" t="str">
        <x:f>IF(ISNUMBER('Assumptions'!F35),'Assumptions'!F35,"n.a.")</x:f>
        <x:v>n.a.</x:v>
      </x:c>
      <x:c r="AP25" s="86" t="str">
        <x:f>IF(ISNUMBER('Assumptions'!F35),'Assumptions'!F35,"n.a.")</x:f>
        <x:v>n.a.</x:v>
      </x:c>
      <x:c r="AQ25" s="86" t="str">
        <x:f>IF(ISNUMBER('Assumptions'!F35),'Assumptions'!F35,"n.a.")</x:f>
        <x:v>n.a.</x:v>
      </x:c>
      <x:c r="AR25" s="86" t="str">
        <x:f>IF(ISNUMBER('Assumptions'!F35),'Assumptions'!F35,"n.a.")</x:f>
        <x:v>n.a.</x:v>
      </x:c>
      <x:c r="AS25" s="86" t="str">
        <x:f>IF(ISNUMBER('Assumptions'!F35),'Assumptions'!F35,"n.a.")</x:f>
        <x:v>n.a.</x:v>
      </x:c>
      <x:c r="AT25" s="86" t="str">
        <x:f>IF(ISNUMBER('Assumptions'!G35),'Assumptions'!G35,"n.a.")</x:f>
        <x:v>n.a.</x:v>
      </x:c>
      <x:c r="AU25" s="86" t="str">
        <x:f>IF(ISNUMBER('Assumptions'!G35),'Assumptions'!G35,"n.a.")</x:f>
        <x:v>n.a.</x:v>
      </x:c>
      <x:c r="AV25" s="86" t="str">
        <x:f>IF(ISNUMBER('Assumptions'!G35),'Assumptions'!G35,"n.a.")</x:f>
        <x:v>n.a.</x:v>
      </x:c>
      <x:c r="AW25" s="86" t="str">
        <x:f>IF(ISNUMBER('Assumptions'!G35),'Assumptions'!G35,"n.a.")</x:f>
        <x:v>n.a.</x:v>
      </x:c>
      <x:c r="AX25" s="86" t="str">
        <x:f>IF(ISNUMBER('Assumptions'!G35),'Assumptions'!G35,"n.a.")</x:f>
        <x:v>n.a.</x:v>
      </x:c>
      <x:c r="AY25" s="86" t="str">
        <x:f>IF(ISNUMBER('Assumptions'!G35),'Assumptions'!G35,"n.a.")</x:f>
        <x:v>n.a.</x:v>
      </x:c>
      <x:c r="AZ25" s="86" t="str">
        <x:f>IF(ISNUMBER('Assumptions'!G35),'Assumptions'!G35,"n.a.")</x:f>
        <x:v>n.a.</x:v>
      </x:c>
      <x:c r="BA25" s="86" t="str">
        <x:f>IF(ISNUMBER('Assumptions'!G35),'Assumptions'!G35,"n.a.")</x:f>
        <x:v>n.a.</x:v>
      </x:c>
      <x:c r="BB25" s="86" t="str">
        <x:f>IF(ISNUMBER('Assumptions'!G35),'Assumptions'!G35,"n.a.")</x:f>
        <x:v>n.a.</x:v>
      </x:c>
      <x:c r="BC25" s="86" t="str">
        <x:f>IF(ISNUMBER('Assumptions'!G35),'Assumptions'!G35,"n.a.")</x:f>
        <x:v>n.a.</x:v>
      </x:c>
      <x:c r="BD25" s="86" t="str">
        <x:f>IF(ISNUMBER('Assumptions'!G35),'Assumptions'!G35,"n.a.")</x:f>
        <x:v>n.a.</x:v>
      </x:c>
      <x:c r="BE25" s="86" t="str">
        <x:f>IF(ISNUMBER('Assumptions'!G35),'Assumptions'!G35,"n.a.")</x:f>
        <x:v>n.a.</x:v>
      </x:c>
      <x:c r="BF25" s="86" t="str">
        <x:f>IF(ISNUMBER('Assumptions'!H35),'Assumptions'!H35,"n.a.")</x:f>
        <x:v>n.a.</x:v>
      </x:c>
      <x:c r="BG25" s="86" t="str">
        <x:f>IF(ISNUMBER('Assumptions'!H35),'Assumptions'!H35,"n.a.")</x:f>
        <x:v>n.a.</x:v>
      </x:c>
      <x:c r="BH25" s="86" t="str">
        <x:f>IF(ISNUMBER('Assumptions'!H35),'Assumptions'!H35,"n.a.")</x:f>
        <x:v>n.a.</x:v>
      </x:c>
      <x:c r="BI25" s="86" t="str">
        <x:f>IF(ISNUMBER('Assumptions'!H35),'Assumptions'!H35,"n.a.")</x:f>
        <x:v>n.a.</x:v>
      </x:c>
      <x:c r="BJ25" s="86" t="str">
        <x:f>IF(ISNUMBER('Assumptions'!H35),'Assumptions'!H35,"n.a.")</x:f>
        <x:v>n.a.</x:v>
      </x:c>
      <x:c r="BK25" s="86" t="str">
        <x:f>IF(ISNUMBER('Assumptions'!H35),'Assumptions'!H35,"n.a.")</x:f>
        <x:v>n.a.</x:v>
      </x:c>
      <x:c r="BL25" s="86" t="str">
        <x:f>IF(ISNUMBER('Assumptions'!H35),'Assumptions'!H35,"n.a.")</x:f>
        <x:v>n.a.</x:v>
      </x:c>
      <x:c r="BM25" s="86" t="str">
        <x:f>IF(ISNUMBER('Assumptions'!H35),'Assumptions'!H35,"n.a.")</x:f>
        <x:v>n.a.</x:v>
      </x:c>
      <x:c r="BN25" s="86" t="str">
        <x:f>IF(ISNUMBER('Assumptions'!H35),'Assumptions'!H35,"n.a.")</x:f>
        <x:v>n.a.</x:v>
      </x:c>
      <x:c r="BO25" s="86" t="str">
        <x:f>IF(ISNUMBER('Assumptions'!H35),'Assumptions'!H35,"n.a.")</x:f>
        <x:v>n.a.</x:v>
      </x:c>
      <x:c r="BP25" s="86" t="str">
        <x:f>IF(ISNUMBER('Assumptions'!H35),'Assumptions'!H35,"n.a.")</x:f>
        <x:v>n.a.</x:v>
      </x:c>
      <x:c r="BQ25" s="86" t="str">
        <x:f>IF(ISNUMBER('Assumptions'!H35),'Assumptions'!H35,"n.a.")</x:f>
        <x:v>n.a.</x:v>
      </x:c>
    </x:row>
    <x:row r="26" ht="23" customHeight="1">
      <x:c r="A26" s="2"/>
      <x:c r="B26" s="2"/>
      <x:c r="C26" s="2" t="str">
        <x:v>Engineering payroll</x:v>
      </x:c>
      <x:c r="D26" s="79" t="str">
        <x:f>IF(COUNT(J26:U26)=12,SUM(J26:U26),"n.a.")</x:f>
        <x:v>n.a.</x:v>
      </x:c>
      <x:c r="E26" s="79" t="str">
        <x:f>IF(COUNT(V26:AG26)=12,SUM(V26:AG26),"n.a.")</x:f>
        <x:v>n.a.</x:v>
      </x:c>
      <x:c r="F26" s="79" t="str">
        <x:f>IF(COUNT(AH26:AS26)=12,SUM(AH26:AS26),"n.a.")</x:f>
        <x:v>n.a.</x:v>
      </x:c>
      <x:c r="G26" s="79" t="str">
        <x:f>IF(COUNT(AT26:BE26)=12,SUM(AT26:BE26),"n.a.")</x:f>
        <x:v>n.a.</x:v>
      </x:c>
      <x:c r="H26" s="79" t="str">
        <x:f>IF(COUNT(BF26:BQ26)=12,SUM(BF26:BQ26),"n.a.")</x:f>
        <x:v>n.a.</x:v>
      </x:c>
      <x:c r="I26" s="86" t="str">
        <x:f>IF(COUNT('Assumptions'!D36,'Assumptions'!D39)=2,'Assumptions'!D36*'Assumptions'!D39,"n.a.")</x:f>
        <x:v>n.a.</x:v>
      </x:c>
      <x:c r="J26" s="86" t="str">
        <x:f>IF(COUNT('Assumptions'!D36,'Assumptions'!D39)=2,'Assumptions'!D36*'Assumptions'!D39,"n.a.")</x:f>
        <x:v>n.a.</x:v>
      </x:c>
      <x:c r="K26" s="86" t="str">
        <x:f>IF(COUNT('Assumptions'!D36,'Assumptions'!D39)=2,'Assumptions'!D36*'Assumptions'!D39,"n.a.")</x:f>
        <x:v>n.a.</x:v>
      </x:c>
      <x:c r="L26" s="86" t="str">
        <x:f>IF(COUNT('Assumptions'!D36,'Assumptions'!D39)=2,'Assumptions'!D36*'Assumptions'!D39,"n.a.")</x:f>
        <x:v>n.a.</x:v>
      </x:c>
      <x:c r="M26" s="86" t="str">
        <x:f>IF(COUNT('Assumptions'!D36,'Assumptions'!D39)=2,'Assumptions'!D36*'Assumptions'!D39,"n.a.")</x:f>
        <x:v>n.a.</x:v>
      </x:c>
      <x:c r="N26" s="86" t="str">
        <x:f>IF(COUNT('Assumptions'!D36,'Assumptions'!D39)=2,'Assumptions'!D36*'Assumptions'!D39,"n.a.")</x:f>
        <x:v>n.a.</x:v>
      </x:c>
      <x:c r="O26" s="86" t="str">
        <x:f>IF(COUNT('Assumptions'!D36,'Assumptions'!D39)=2,'Assumptions'!D36*'Assumptions'!D39,"n.a.")</x:f>
        <x:v>n.a.</x:v>
      </x:c>
      <x:c r="P26" s="86" t="str">
        <x:f>IF(COUNT('Assumptions'!D36,'Assumptions'!D39)=2,'Assumptions'!D36*'Assumptions'!D39,"n.a.")</x:f>
        <x:v>n.a.</x:v>
      </x:c>
      <x:c r="Q26" s="86" t="str">
        <x:f>IF(COUNT('Assumptions'!D36,'Assumptions'!D39)=2,'Assumptions'!D36*'Assumptions'!D39,"n.a.")</x:f>
        <x:v>n.a.</x:v>
      </x:c>
      <x:c r="R26" s="86" t="str">
        <x:f>IF(COUNT('Assumptions'!D36,'Assumptions'!D39)=2,'Assumptions'!D36*'Assumptions'!D39,"n.a.")</x:f>
        <x:v>n.a.</x:v>
      </x:c>
      <x:c r="S26" s="86" t="str">
        <x:f>IF(COUNT('Assumptions'!D36,'Assumptions'!D39)=2,'Assumptions'!D36*'Assumptions'!D39,"n.a.")</x:f>
        <x:v>n.a.</x:v>
      </x:c>
      <x:c r="T26" s="86" t="str">
        <x:f>IF(COUNT('Assumptions'!D36,'Assumptions'!D39)=2,'Assumptions'!D36*'Assumptions'!D39,"n.a.")</x:f>
        <x:v>n.a.</x:v>
      </x:c>
      <x:c r="U26" s="86" t="str">
        <x:f>IF(COUNT('Assumptions'!D36,'Assumptions'!D39)=2,'Assumptions'!D36*'Assumptions'!D39,"n.a.")</x:f>
        <x:v>n.a.</x:v>
      </x:c>
      <x:c r="V26" s="86" t="str">
        <x:f>IF(COUNT('Assumptions'!E36,'Assumptions'!E39)=2,'Assumptions'!E36*'Assumptions'!E39,"n.a.")</x:f>
        <x:v>n.a.</x:v>
      </x:c>
      <x:c r="W26" s="86" t="str">
        <x:f>IF(COUNT('Assumptions'!E36,'Assumptions'!E39)=2,'Assumptions'!E36*'Assumptions'!E39,"n.a.")</x:f>
        <x:v>n.a.</x:v>
      </x:c>
      <x:c r="X26" s="86" t="str">
        <x:f>IF(COUNT('Assumptions'!E36,'Assumptions'!E39)=2,'Assumptions'!E36*'Assumptions'!E39,"n.a.")</x:f>
        <x:v>n.a.</x:v>
      </x:c>
      <x:c r="Y26" s="86" t="str">
        <x:f>IF(COUNT('Assumptions'!E36,'Assumptions'!E39)=2,'Assumptions'!E36*'Assumptions'!E39,"n.a.")</x:f>
        <x:v>n.a.</x:v>
      </x:c>
      <x:c r="Z26" s="86" t="str">
        <x:f>IF(COUNT('Assumptions'!E36,'Assumptions'!E39)=2,'Assumptions'!E36*'Assumptions'!E39,"n.a.")</x:f>
        <x:v>n.a.</x:v>
      </x:c>
      <x:c r="AA26" s="86" t="str">
        <x:f>IF(COUNT('Assumptions'!E36,'Assumptions'!E39)=2,'Assumptions'!E36*'Assumptions'!E39,"n.a.")</x:f>
        <x:v>n.a.</x:v>
      </x:c>
      <x:c r="AB26" s="86" t="str">
        <x:f>IF(COUNT('Assumptions'!E36,'Assumptions'!E39)=2,'Assumptions'!E36*'Assumptions'!E39,"n.a.")</x:f>
        <x:v>n.a.</x:v>
      </x:c>
      <x:c r="AC26" s="86" t="str">
        <x:f>IF(COUNT('Assumptions'!E36,'Assumptions'!E39)=2,'Assumptions'!E36*'Assumptions'!E39,"n.a.")</x:f>
        <x:v>n.a.</x:v>
      </x:c>
      <x:c r="AD26" s="86" t="str">
        <x:f>IF(COUNT('Assumptions'!E36,'Assumptions'!E39)=2,'Assumptions'!E36*'Assumptions'!E39,"n.a.")</x:f>
        <x:v>n.a.</x:v>
      </x:c>
      <x:c r="AE26" s="86" t="str">
        <x:f>IF(COUNT('Assumptions'!E36,'Assumptions'!E39)=2,'Assumptions'!E36*'Assumptions'!E39,"n.a.")</x:f>
        <x:v>n.a.</x:v>
      </x:c>
      <x:c r="AF26" s="86" t="str">
        <x:f>IF(COUNT('Assumptions'!E36,'Assumptions'!E39)=2,'Assumptions'!E36*'Assumptions'!E39,"n.a.")</x:f>
        <x:v>n.a.</x:v>
      </x:c>
      <x:c r="AG26" s="86" t="str">
        <x:f>IF(COUNT('Assumptions'!E36,'Assumptions'!E39)=2,'Assumptions'!E36*'Assumptions'!E39,"n.a.")</x:f>
        <x:v>n.a.</x:v>
      </x:c>
      <x:c r="AH26" s="86" t="str">
        <x:f>IF(COUNT('Assumptions'!F36,'Assumptions'!F39)=2,'Assumptions'!F36*'Assumptions'!F39,"n.a.")</x:f>
        <x:v>n.a.</x:v>
      </x:c>
      <x:c r="AI26" s="86" t="str">
        <x:f>IF(COUNT('Assumptions'!F36,'Assumptions'!F39)=2,'Assumptions'!F36*'Assumptions'!F39,"n.a.")</x:f>
        <x:v>n.a.</x:v>
      </x:c>
      <x:c r="AJ26" s="86" t="str">
        <x:f>IF(COUNT('Assumptions'!F36,'Assumptions'!F39)=2,'Assumptions'!F36*'Assumptions'!F39,"n.a.")</x:f>
        <x:v>n.a.</x:v>
      </x:c>
      <x:c r="AK26" s="86" t="str">
        <x:f>IF(COUNT('Assumptions'!F36,'Assumptions'!F39)=2,'Assumptions'!F36*'Assumptions'!F39,"n.a.")</x:f>
        <x:v>n.a.</x:v>
      </x:c>
      <x:c r="AL26" s="86" t="str">
        <x:f>IF(COUNT('Assumptions'!F36,'Assumptions'!F39)=2,'Assumptions'!F36*'Assumptions'!F39,"n.a.")</x:f>
        <x:v>n.a.</x:v>
      </x:c>
      <x:c r="AM26" s="86" t="str">
        <x:f>IF(COUNT('Assumptions'!F36,'Assumptions'!F39)=2,'Assumptions'!F36*'Assumptions'!F39,"n.a.")</x:f>
        <x:v>n.a.</x:v>
      </x:c>
      <x:c r="AN26" s="86" t="str">
        <x:f>IF(COUNT('Assumptions'!F36,'Assumptions'!F39)=2,'Assumptions'!F36*'Assumptions'!F39,"n.a.")</x:f>
        <x:v>n.a.</x:v>
      </x:c>
      <x:c r="AO26" s="86" t="str">
        <x:f>IF(COUNT('Assumptions'!F36,'Assumptions'!F39)=2,'Assumptions'!F36*'Assumptions'!F39,"n.a.")</x:f>
        <x:v>n.a.</x:v>
      </x:c>
      <x:c r="AP26" s="86" t="str">
        <x:f>IF(COUNT('Assumptions'!F36,'Assumptions'!F39)=2,'Assumptions'!F36*'Assumptions'!F39,"n.a.")</x:f>
        <x:v>n.a.</x:v>
      </x:c>
      <x:c r="AQ26" s="86" t="str">
        <x:f>IF(COUNT('Assumptions'!F36,'Assumptions'!F39)=2,'Assumptions'!F36*'Assumptions'!F39,"n.a.")</x:f>
        <x:v>n.a.</x:v>
      </x:c>
      <x:c r="AR26" s="86" t="str">
        <x:f>IF(COUNT('Assumptions'!F36,'Assumptions'!F39)=2,'Assumptions'!F36*'Assumptions'!F39,"n.a.")</x:f>
        <x:v>n.a.</x:v>
      </x:c>
      <x:c r="AS26" s="86" t="str">
        <x:f>IF(COUNT('Assumptions'!F36,'Assumptions'!F39)=2,'Assumptions'!F36*'Assumptions'!F39,"n.a.")</x:f>
        <x:v>n.a.</x:v>
      </x:c>
      <x:c r="AT26" s="86" t="str">
        <x:f>IF(COUNT('Assumptions'!G36,'Assumptions'!G39)=2,'Assumptions'!G36*'Assumptions'!G39,"n.a.")</x:f>
        <x:v>n.a.</x:v>
      </x:c>
      <x:c r="AU26" s="86" t="str">
        <x:f>IF(COUNT('Assumptions'!G36,'Assumptions'!G39)=2,'Assumptions'!G36*'Assumptions'!G39,"n.a.")</x:f>
        <x:v>n.a.</x:v>
      </x:c>
      <x:c r="AV26" s="86" t="str">
        <x:f>IF(COUNT('Assumptions'!G36,'Assumptions'!G39)=2,'Assumptions'!G36*'Assumptions'!G39,"n.a.")</x:f>
        <x:v>n.a.</x:v>
      </x:c>
      <x:c r="AW26" s="86" t="str">
        <x:f>IF(COUNT('Assumptions'!G36,'Assumptions'!G39)=2,'Assumptions'!G36*'Assumptions'!G39,"n.a.")</x:f>
        <x:v>n.a.</x:v>
      </x:c>
      <x:c r="AX26" s="86" t="str">
        <x:f>IF(COUNT('Assumptions'!G36,'Assumptions'!G39)=2,'Assumptions'!G36*'Assumptions'!G39,"n.a.")</x:f>
        <x:v>n.a.</x:v>
      </x:c>
      <x:c r="AY26" s="86" t="str">
        <x:f>IF(COUNT('Assumptions'!G36,'Assumptions'!G39)=2,'Assumptions'!G36*'Assumptions'!G39,"n.a.")</x:f>
        <x:v>n.a.</x:v>
      </x:c>
      <x:c r="AZ26" s="86" t="str">
        <x:f>IF(COUNT('Assumptions'!G36,'Assumptions'!G39)=2,'Assumptions'!G36*'Assumptions'!G39,"n.a.")</x:f>
        <x:v>n.a.</x:v>
      </x:c>
      <x:c r="BA26" s="86" t="str">
        <x:f>IF(COUNT('Assumptions'!G36,'Assumptions'!G39)=2,'Assumptions'!G36*'Assumptions'!G39,"n.a.")</x:f>
        <x:v>n.a.</x:v>
      </x:c>
      <x:c r="BB26" s="86" t="str">
        <x:f>IF(COUNT('Assumptions'!G36,'Assumptions'!G39)=2,'Assumptions'!G36*'Assumptions'!G39,"n.a.")</x:f>
        <x:v>n.a.</x:v>
      </x:c>
      <x:c r="BC26" s="86" t="str">
        <x:f>IF(COUNT('Assumptions'!G36,'Assumptions'!G39)=2,'Assumptions'!G36*'Assumptions'!G39,"n.a.")</x:f>
        <x:v>n.a.</x:v>
      </x:c>
      <x:c r="BD26" s="86" t="str">
        <x:f>IF(COUNT('Assumptions'!G36,'Assumptions'!G39)=2,'Assumptions'!G36*'Assumptions'!G39,"n.a.")</x:f>
        <x:v>n.a.</x:v>
      </x:c>
      <x:c r="BE26" s="86" t="str">
        <x:f>IF(COUNT('Assumptions'!G36,'Assumptions'!G39)=2,'Assumptions'!G36*'Assumptions'!G39,"n.a.")</x:f>
        <x:v>n.a.</x:v>
      </x:c>
      <x:c r="BF26" s="86" t="str">
        <x:f>IF(COUNT('Assumptions'!H36,'Assumptions'!H39)=2,'Assumptions'!H36*'Assumptions'!H39,"n.a.")</x:f>
        <x:v>n.a.</x:v>
      </x:c>
      <x:c r="BG26" s="86" t="str">
        <x:f>IF(COUNT('Assumptions'!H36,'Assumptions'!H39)=2,'Assumptions'!H36*'Assumptions'!H39,"n.a.")</x:f>
        <x:v>n.a.</x:v>
      </x:c>
      <x:c r="BH26" s="86" t="str">
        <x:f>IF(COUNT('Assumptions'!H36,'Assumptions'!H39)=2,'Assumptions'!H36*'Assumptions'!H39,"n.a.")</x:f>
        <x:v>n.a.</x:v>
      </x:c>
      <x:c r="BI26" s="86" t="str">
        <x:f>IF(COUNT('Assumptions'!H36,'Assumptions'!H39)=2,'Assumptions'!H36*'Assumptions'!H39,"n.a.")</x:f>
        <x:v>n.a.</x:v>
      </x:c>
      <x:c r="BJ26" s="86" t="str">
        <x:f>IF(COUNT('Assumptions'!H36,'Assumptions'!H39)=2,'Assumptions'!H36*'Assumptions'!H39,"n.a.")</x:f>
        <x:v>n.a.</x:v>
      </x:c>
      <x:c r="BK26" s="86" t="str">
        <x:f>IF(COUNT('Assumptions'!H36,'Assumptions'!H39)=2,'Assumptions'!H36*'Assumptions'!H39,"n.a.")</x:f>
        <x:v>n.a.</x:v>
      </x:c>
      <x:c r="BL26" s="86" t="str">
        <x:f>IF(COUNT('Assumptions'!H36,'Assumptions'!H39)=2,'Assumptions'!H36*'Assumptions'!H39,"n.a.")</x:f>
        <x:v>n.a.</x:v>
      </x:c>
      <x:c r="BM26" s="86" t="str">
        <x:f>IF(COUNT('Assumptions'!H36,'Assumptions'!H39)=2,'Assumptions'!H36*'Assumptions'!H39,"n.a.")</x:f>
        <x:v>n.a.</x:v>
      </x:c>
      <x:c r="BN26" s="86" t="str">
        <x:f>IF(COUNT('Assumptions'!H36,'Assumptions'!H39)=2,'Assumptions'!H36*'Assumptions'!H39,"n.a.")</x:f>
        <x:v>n.a.</x:v>
      </x:c>
      <x:c r="BO26" s="86" t="str">
        <x:f>IF(COUNT('Assumptions'!H36,'Assumptions'!H39)=2,'Assumptions'!H36*'Assumptions'!H39,"n.a.")</x:f>
        <x:v>n.a.</x:v>
      </x:c>
      <x:c r="BP26" s="86" t="str">
        <x:f>IF(COUNT('Assumptions'!H36,'Assumptions'!H39)=2,'Assumptions'!H36*'Assumptions'!H39,"n.a.")</x:f>
        <x:v>n.a.</x:v>
      </x:c>
      <x:c r="BQ26" s="86" t="str">
        <x:f>IF(COUNT('Assumptions'!H36,'Assumptions'!H39)=2,'Assumptions'!H36*'Assumptions'!H39,"n.a.")</x:f>
        <x:v>n.a.</x:v>
      </x:c>
    </x:row>
    <x:row r="27" ht="23" customHeight="1">
      <x:c r="A27" s="2"/>
      <x:c r="B27" s="2"/>
      <x:c r="C27" s="2" t="str">
        <x:v>Sales and support payroll</x:v>
      </x:c>
      <x:c r="D27" s="79" t="str">
        <x:f>IF(COUNT(J27:U27)=12,SUM(J27:U27),"n.a.")</x:f>
        <x:v>n.a.</x:v>
      </x:c>
      <x:c r="E27" s="79" t="str">
        <x:f>IF(COUNT(V27:AG27)=12,SUM(V27:AG27),"n.a.")</x:f>
        <x:v>n.a.</x:v>
      </x:c>
      <x:c r="F27" s="79" t="str">
        <x:f>IF(COUNT(AH27:AS27)=12,SUM(AH27:AS27),"n.a.")</x:f>
        <x:v>n.a.</x:v>
      </x:c>
      <x:c r="G27" s="79" t="str">
        <x:f>IF(COUNT(AT27:BE27)=12,SUM(AT27:BE27),"n.a.")</x:f>
        <x:v>n.a.</x:v>
      </x:c>
      <x:c r="H27" s="79" t="str">
        <x:f>IF(COUNT(BF27:BQ27)=12,SUM(BF27:BQ27),"n.a.")</x:f>
        <x:v>n.a.</x:v>
      </x:c>
      <x:c r="I27" s="86" t="str">
        <x:f>IF(COUNT('Assumptions'!D37,'Assumptions'!D39)=2,'Assumptions'!D37*'Assumptions'!D39,"n.a.")</x:f>
        <x:v>n.a.</x:v>
      </x:c>
      <x:c r="J27" s="86" t="str">
        <x:f>IF(COUNT('Assumptions'!D37,'Assumptions'!D39)=2,'Assumptions'!D37*'Assumptions'!D39,"n.a.")</x:f>
        <x:v>n.a.</x:v>
      </x:c>
      <x:c r="K27" s="86" t="str">
        <x:f>IF(COUNT('Assumptions'!D37,'Assumptions'!D39)=2,'Assumptions'!D37*'Assumptions'!D39,"n.a.")</x:f>
        <x:v>n.a.</x:v>
      </x:c>
      <x:c r="L27" s="86" t="str">
        <x:f>IF(COUNT('Assumptions'!D37,'Assumptions'!D39)=2,'Assumptions'!D37*'Assumptions'!D39,"n.a.")</x:f>
        <x:v>n.a.</x:v>
      </x:c>
      <x:c r="M27" s="86" t="str">
        <x:f>IF(COUNT('Assumptions'!D37,'Assumptions'!D39)=2,'Assumptions'!D37*'Assumptions'!D39,"n.a.")</x:f>
        <x:v>n.a.</x:v>
      </x:c>
      <x:c r="N27" s="86" t="str">
        <x:f>IF(COUNT('Assumptions'!D37,'Assumptions'!D39)=2,'Assumptions'!D37*'Assumptions'!D39,"n.a.")</x:f>
        <x:v>n.a.</x:v>
      </x:c>
      <x:c r="O27" s="86" t="str">
        <x:f>IF(COUNT('Assumptions'!D37,'Assumptions'!D39)=2,'Assumptions'!D37*'Assumptions'!D39,"n.a.")</x:f>
        <x:v>n.a.</x:v>
      </x:c>
      <x:c r="P27" s="86" t="str">
        <x:f>IF(COUNT('Assumptions'!D37,'Assumptions'!D39)=2,'Assumptions'!D37*'Assumptions'!D39,"n.a.")</x:f>
        <x:v>n.a.</x:v>
      </x:c>
      <x:c r="Q27" s="86" t="str">
        <x:f>IF(COUNT('Assumptions'!D37,'Assumptions'!D39)=2,'Assumptions'!D37*'Assumptions'!D39,"n.a.")</x:f>
        <x:v>n.a.</x:v>
      </x:c>
      <x:c r="R27" s="86" t="str">
        <x:f>IF(COUNT('Assumptions'!D37,'Assumptions'!D39)=2,'Assumptions'!D37*'Assumptions'!D39,"n.a.")</x:f>
        <x:v>n.a.</x:v>
      </x:c>
      <x:c r="S27" s="86" t="str">
        <x:f>IF(COUNT('Assumptions'!D37,'Assumptions'!D39)=2,'Assumptions'!D37*'Assumptions'!D39,"n.a.")</x:f>
        <x:v>n.a.</x:v>
      </x:c>
      <x:c r="T27" s="86" t="str">
        <x:f>IF(COUNT('Assumptions'!D37,'Assumptions'!D39)=2,'Assumptions'!D37*'Assumptions'!D39,"n.a.")</x:f>
        <x:v>n.a.</x:v>
      </x:c>
      <x:c r="U27" s="86" t="str">
        <x:f>IF(COUNT('Assumptions'!D37,'Assumptions'!D39)=2,'Assumptions'!D37*'Assumptions'!D39,"n.a.")</x:f>
        <x:v>n.a.</x:v>
      </x:c>
      <x:c r="V27" s="86" t="str">
        <x:f>IF(COUNT('Assumptions'!E37,'Assumptions'!E39)=2,'Assumptions'!E37*'Assumptions'!E39,"n.a.")</x:f>
        <x:v>n.a.</x:v>
      </x:c>
      <x:c r="W27" s="86" t="str">
        <x:f>IF(COUNT('Assumptions'!E37,'Assumptions'!E39)=2,'Assumptions'!E37*'Assumptions'!E39,"n.a.")</x:f>
        <x:v>n.a.</x:v>
      </x:c>
      <x:c r="X27" s="86" t="str">
        <x:f>IF(COUNT('Assumptions'!E37,'Assumptions'!E39)=2,'Assumptions'!E37*'Assumptions'!E39,"n.a.")</x:f>
        <x:v>n.a.</x:v>
      </x:c>
      <x:c r="Y27" s="86" t="str">
        <x:f>IF(COUNT('Assumptions'!E37,'Assumptions'!E39)=2,'Assumptions'!E37*'Assumptions'!E39,"n.a.")</x:f>
        <x:v>n.a.</x:v>
      </x:c>
      <x:c r="Z27" s="86" t="str">
        <x:f>IF(COUNT('Assumptions'!E37,'Assumptions'!E39)=2,'Assumptions'!E37*'Assumptions'!E39,"n.a.")</x:f>
        <x:v>n.a.</x:v>
      </x:c>
      <x:c r="AA27" s="86" t="str">
        <x:f>IF(COUNT('Assumptions'!E37,'Assumptions'!E39)=2,'Assumptions'!E37*'Assumptions'!E39,"n.a.")</x:f>
        <x:v>n.a.</x:v>
      </x:c>
      <x:c r="AB27" s="86" t="str">
        <x:f>IF(COUNT('Assumptions'!E37,'Assumptions'!E39)=2,'Assumptions'!E37*'Assumptions'!E39,"n.a.")</x:f>
        <x:v>n.a.</x:v>
      </x:c>
      <x:c r="AC27" s="86" t="str">
        <x:f>IF(COUNT('Assumptions'!E37,'Assumptions'!E39)=2,'Assumptions'!E37*'Assumptions'!E39,"n.a.")</x:f>
        <x:v>n.a.</x:v>
      </x:c>
      <x:c r="AD27" s="86" t="str">
        <x:f>IF(COUNT('Assumptions'!E37,'Assumptions'!E39)=2,'Assumptions'!E37*'Assumptions'!E39,"n.a.")</x:f>
        <x:v>n.a.</x:v>
      </x:c>
      <x:c r="AE27" s="86" t="str">
        <x:f>IF(COUNT('Assumptions'!E37,'Assumptions'!E39)=2,'Assumptions'!E37*'Assumptions'!E39,"n.a.")</x:f>
        <x:v>n.a.</x:v>
      </x:c>
      <x:c r="AF27" s="86" t="str">
        <x:f>IF(COUNT('Assumptions'!E37,'Assumptions'!E39)=2,'Assumptions'!E37*'Assumptions'!E39,"n.a.")</x:f>
        <x:v>n.a.</x:v>
      </x:c>
      <x:c r="AG27" s="86" t="str">
        <x:f>IF(COUNT('Assumptions'!E37,'Assumptions'!E39)=2,'Assumptions'!E37*'Assumptions'!E39,"n.a.")</x:f>
        <x:v>n.a.</x:v>
      </x:c>
      <x:c r="AH27" s="86" t="str">
        <x:f>IF(COUNT('Assumptions'!F37,'Assumptions'!F39)=2,'Assumptions'!F37*'Assumptions'!F39,"n.a.")</x:f>
        <x:v>n.a.</x:v>
      </x:c>
      <x:c r="AI27" s="86" t="str">
        <x:f>IF(COUNT('Assumptions'!F37,'Assumptions'!F39)=2,'Assumptions'!F37*'Assumptions'!F39,"n.a.")</x:f>
        <x:v>n.a.</x:v>
      </x:c>
      <x:c r="AJ27" s="86" t="str">
        <x:f>IF(COUNT('Assumptions'!F37,'Assumptions'!F39)=2,'Assumptions'!F37*'Assumptions'!F39,"n.a.")</x:f>
        <x:v>n.a.</x:v>
      </x:c>
      <x:c r="AK27" s="86" t="str">
        <x:f>IF(COUNT('Assumptions'!F37,'Assumptions'!F39)=2,'Assumptions'!F37*'Assumptions'!F39,"n.a.")</x:f>
        <x:v>n.a.</x:v>
      </x:c>
      <x:c r="AL27" s="86" t="str">
        <x:f>IF(COUNT('Assumptions'!F37,'Assumptions'!F39)=2,'Assumptions'!F37*'Assumptions'!F39,"n.a.")</x:f>
        <x:v>n.a.</x:v>
      </x:c>
      <x:c r="AM27" s="86" t="str">
        <x:f>IF(COUNT('Assumptions'!F37,'Assumptions'!F39)=2,'Assumptions'!F37*'Assumptions'!F39,"n.a.")</x:f>
        <x:v>n.a.</x:v>
      </x:c>
      <x:c r="AN27" s="86" t="str">
        <x:f>IF(COUNT('Assumptions'!F37,'Assumptions'!F39)=2,'Assumptions'!F37*'Assumptions'!F39,"n.a.")</x:f>
        <x:v>n.a.</x:v>
      </x:c>
      <x:c r="AO27" s="86" t="str">
        <x:f>IF(COUNT('Assumptions'!F37,'Assumptions'!F39)=2,'Assumptions'!F37*'Assumptions'!F39,"n.a.")</x:f>
        <x:v>n.a.</x:v>
      </x:c>
      <x:c r="AP27" s="86" t="str">
        <x:f>IF(COUNT('Assumptions'!F37,'Assumptions'!F39)=2,'Assumptions'!F37*'Assumptions'!F39,"n.a.")</x:f>
        <x:v>n.a.</x:v>
      </x:c>
      <x:c r="AQ27" s="86" t="str">
        <x:f>IF(COUNT('Assumptions'!F37,'Assumptions'!F39)=2,'Assumptions'!F37*'Assumptions'!F39,"n.a.")</x:f>
        <x:v>n.a.</x:v>
      </x:c>
      <x:c r="AR27" s="86" t="str">
        <x:f>IF(COUNT('Assumptions'!F37,'Assumptions'!F39)=2,'Assumptions'!F37*'Assumptions'!F39,"n.a.")</x:f>
        <x:v>n.a.</x:v>
      </x:c>
      <x:c r="AS27" s="86" t="str">
        <x:f>IF(COUNT('Assumptions'!F37,'Assumptions'!F39)=2,'Assumptions'!F37*'Assumptions'!F39,"n.a.")</x:f>
        <x:v>n.a.</x:v>
      </x:c>
      <x:c r="AT27" s="86" t="str">
        <x:f>IF(COUNT('Assumptions'!G37,'Assumptions'!G39)=2,'Assumptions'!G37*'Assumptions'!G39,"n.a.")</x:f>
        <x:v>n.a.</x:v>
      </x:c>
      <x:c r="AU27" s="86" t="str">
        <x:f>IF(COUNT('Assumptions'!G37,'Assumptions'!G39)=2,'Assumptions'!G37*'Assumptions'!G39,"n.a.")</x:f>
        <x:v>n.a.</x:v>
      </x:c>
      <x:c r="AV27" s="86" t="str">
        <x:f>IF(COUNT('Assumptions'!G37,'Assumptions'!G39)=2,'Assumptions'!G37*'Assumptions'!G39,"n.a.")</x:f>
        <x:v>n.a.</x:v>
      </x:c>
      <x:c r="AW27" s="86" t="str">
        <x:f>IF(COUNT('Assumptions'!G37,'Assumptions'!G39)=2,'Assumptions'!G37*'Assumptions'!G39,"n.a.")</x:f>
        <x:v>n.a.</x:v>
      </x:c>
      <x:c r="AX27" s="86" t="str">
        <x:f>IF(COUNT('Assumptions'!G37,'Assumptions'!G39)=2,'Assumptions'!G37*'Assumptions'!G39,"n.a.")</x:f>
        <x:v>n.a.</x:v>
      </x:c>
      <x:c r="AY27" s="86" t="str">
        <x:f>IF(COUNT('Assumptions'!G37,'Assumptions'!G39)=2,'Assumptions'!G37*'Assumptions'!G39,"n.a.")</x:f>
        <x:v>n.a.</x:v>
      </x:c>
      <x:c r="AZ27" s="86" t="str">
        <x:f>IF(COUNT('Assumptions'!G37,'Assumptions'!G39)=2,'Assumptions'!G37*'Assumptions'!G39,"n.a.")</x:f>
        <x:v>n.a.</x:v>
      </x:c>
      <x:c r="BA27" s="86" t="str">
        <x:f>IF(COUNT('Assumptions'!G37,'Assumptions'!G39)=2,'Assumptions'!G37*'Assumptions'!G39,"n.a.")</x:f>
        <x:v>n.a.</x:v>
      </x:c>
      <x:c r="BB27" s="86" t="str">
        <x:f>IF(COUNT('Assumptions'!G37,'Assumptions'!G39)=2,'Assumptions'!G37*'Assumptions'!G39,"n.a.")</x:f>
        <x:v>n.a.</x:v>
      </x:c>
      <x:c r="BC27" s="86" t="str">
        <x:f>IF(COUNT('Assumptions'!G37,'Assumptions'!G39)=2,'Assumptions'!G37*'Assumptions'!G39,"n.a.")</x:f>
        <x:v>n.a.</x:v>
      </x:c>
      <x:c r="BD27" s="86" t="str">
        <x:f>IF(COUNT('Assumptions'!G37,'Assumptions'!G39)=2,'Assumptions'!G37*'Assumptions'!G39,"n.a.")</x:f>
        <x:v>n.a.</x:v>
      </x:c>
      <x:c r="BE27" s="86" t="str">
        <x:f>IF(COUNT('Assumptions'!G37,'Assumptions'!G39)=2,'Assumptions'!G37*'Assumptions'!G39,"n.a.")</x:f>
        <x:v>n.a.</x:v>
      </x:c>
      <x:c r="BF27" s="86" t="str">
        <x:f>IF(COUNT('Assumptions'!H37,'Assumptions'!H39)=2,'Assumptions'!H37*'Assumptions'!H39,"n.a.")</x:f>
        <x:v>n.a.</x:v>
      </x:c>
      <x:c r="BG27" s="86" t="str">
        <x:f>IF(COUNT('Assumptions'!H37,'Assumptions'!H39)=2,'Assumptions'!H37*'Assumptions'!H39,"n.a.")</x:f>
        <x:v>n.a.</x:v>
      </x:c>
      <x:c r="BH27" s="86" t="str">
        <x:f>IF(COUNT('Assumptions'!H37,'Assumptions'!H39)=2,'Assumptions'!H37*'Assumptions'!H39,"n.a.")</x:f>
        <x:v>n.a.</x:v>
      </x:c>
      <x:c r="BI27" s="86" t="str">
        <x:f>IF(COUNT('Assumptions'!H37,'Assumptions'!H39)=2,'Assumptions'!H37*'Assumptions'!H39,"n.a.")</x:f>
        <x:v>n.a.</x:v>
      </x:c>
      <x:c r="BJ27" s="86" t="str">
        <x:f>IF(COUNT('Assumptions'!H37,'Assumptions'!H39)=2,'Assumptions'!H37*'Assumptions'!H39,"n.a.")</x:f>
        <x:v>n.a.</x:v>
      </x:c>
      <x:c r="BK27" s="86" t="str">
        <x:f>IF(COUNT('Assumptions'!H37,'Assumptions'!H39)=2,'Assumptions'!H37*'Assumptions'!H39,"n.a.")</x:f>
        <x:v>n.a.</x:v>
      </x:c>
      <x:c r="BL27" s="86" t="str">
        <x:f>IF(COUNT('Assumptions'!H37,'Assumptions'!H39)=2,'Assumptions'!H37*'Assumptions'!H39,"n.a.")</x:f>
        <x:v>n.a.</x:v>
      </x:c>
      <x:c r="BM27" s="86" t="str">
        <x:f>IF(COUNT('Assumptions'!H37,'Assumptions'!H39)=2,'Assumptions'!H37*'Assumptions'!H39,"n.a.")</x:f>
        <x:v>n.a.</x:v>
      </x:c>
      <x:c r="BN27" s="86" t="str">
        <x:f>IF(COUNT('Assumptions'!H37,'Assumptions'!H39)=2,'Assumptions'!H37*'Assumptions'!H39,"n.a.")</x:f>
        <x:v>n.a.</x:v>
      </x:c>
      <x:c r="BO27" s="86" t="str">
        <x:f>IF(COUNT('Assumptions'!H37,'Assumptions'!H39)=2,'Assumptions'!H37*'Assumptions'!H39,"n.a.")</x:f>
        <x:v>n.a.</x:v>
      </x:c>
      <x:c r="BP27" s="86" t="str">
        <x:f>IF(COUNT('Assumptions'!H37,'Assumptions'!H39)=2,'Assumptions'!H37*'Assumptions'!H39,"n.a.")</x:f>
        <x:v>n.a.</x:v>
      </x:c>
      <x:c r="BQ27" s="86" t="str">
        <x:f>IF(COUNT('Assumptions'!H37,'Assumptions'!H39)=2,'Assumptions'!H37*'Assumptions'!H39,"n.a.")</x:f>
        <x:v>n.a.</x:v>
      </x:c>
    </x:row>
    <x:row r="28" ht="23" customHeight="1">
      <x:c r="A28" s="2"/>
      <x:c r="B28" s="2"/>
      <x:c r="C28" s="2" t="str">
        <x:v>G&amp;A payroll</x:v>
      </x:c>
      <x:c r="D28" s="79" t="str">
        <x:f>IF(COUNT(J28:U28)=12,SUM(J28:U28),"n.a.")</x:f>
        <x:v>n.a.</x:v>
      </x:c>
      <x:c r="E28" s="79" t="str">
        <x:f>IF(COUNT(V28:AG28)=12,SUM(V28:AG28),"n.a.")</x:f>
        <x:v>n.a.</x:v>
      </x:c>
      <x:c r="F28" s="79" t="str">
        <x:f>IF(COUNT(AH28:AS28)=12,SUM(AH28:AS28),"n.a.")</x:f>
        <x:v>n.a.</x:v>
      </x:c>
      <x:c r="G28" s="79" t="str">
        <x:f>IF(COUNT(AT28:BE28)=12,SUM(AT28:BE28),"n.a.")</x:f>
        <x:v>n.a.</x:v>
      </x:c>
      <x:c r="H28" s="79" t="str">
        <x:f>IF(COUNT(BF28:BQ28)=12,SUM(BF28:BQ28),"n.a.")</x:f>
        <x:v>n.a.</x:v>
      </x:c>
      <x:c r="I28" s="86" t="str">
        <x:f>IF(COUNT('Assumptions'!D38,'Assumptions'!D39)=2,'Assumptions'!D38*'Assumptions'!D39,"n.a.")</x:f>
        <x:v>n.a.</x:v>
      </x:c>
      <x:c r="J28" s="86" t="str">
        <x:f>IF(COUNT('Assumptions'!D38,'Assumptions'!D39)=2,'Assumptions'!D38*'Assumptions'!D39,"n.a.")</x:f>
        <x:v>n.a.</x:v>
      </x:c>
      <x:c r="K28" s="86" t="str">
        <x:f>IF(COUNT('Assumptions'!D38,'Assumptions'!D39)=2,'Assumptions'!D38*'Assumptions'!D39,"n.a.")</x:f>
        <x:v>n.a.</x:v>
      </x:c>
      <x:c r="L28" s="86" t="str">
        <x:f>IF(COUNT('Assumptions'!D38,'Assumptions'!D39)=2,'Assumptions'!D38*'Assumptions'!D39,"n.a.")</x:f>
        <x:v>n.a.</x:v>
      </x:c>
      <x:c r="M28" s="86" t="str">
        <x:f>IF(COUNT('Assumptions'!D38,'Assumptions'!D39)=2,'Assumptions'!D38*'Assumptions'!D39,"n.a.")</x:f>
        <x:v>n.a.</x:v>
      </x:c>
      <x:c r="N28" s="86" t="str">
        <x:f>IF(COUNT('Assumptions'!D38,'Assumptions'!D39)=2,'Assumptions'!D38*'Assumptions'!D39,"n.a.")</x:f>
        <x:v>n.a.</x:v>
      </x:c>
      <x:c r="O28" s="86" t="str">
        <x:f>IF(COUNT('Assumptions'!D38,'Assumptions'!D39)=2,'Assumptions'!D38*'Assumptions'!D39,"n.a.")</x:f>
        <x:v>n.a.</x:v>
      </x:c>
      <x:c r="P28" s="86" t="str">
        <x:f>IF(COUNT('Assumptions'!D38,'Assumptions'!D39)=2,'Assumptions'!D38*'Assumptions'!D39,"n.a.")</x:f>
        <x:v>n.a.</x:v>
      </x:c>
      <x:c r="Q28" s="86" t="str">
        <x:f>IF(COUNT('Assumptions'!D38,'Assumptions'!D39)=2,'Assumptions'!D38*'Assumptions'!D39,"n.a.")</x:f>
        <x:v>n.a.</x:v>
      </x:c>
      <x:c r="R28" s="86" t="str">
        <x:f>IF(COUNT('Assumptions'!D38,'Assumptions'!D39)=2,'Assumptions'!D38*'Assumptions'!D39,"n.a.")</x:f>
        <x:v>n.a.</x:v>
      </x:c>
      <x:c r="S28" s="86" t="str">
        <x:f>IF(COUNT('Assumptions'!D38,'Assumptions'!D39)=2,'Assumptions'!D38*'Assumptions'!D39,"n.a.")</x:f>
        <x:v>n.a.</x:v>
      </x:c>
      <x:c r="T28" s="86" t="str">
        <x:f>IF(COUNT('Assumptions'!D38,'Assumptions'!D39)=2,'Assumptions'!D38*'Assumptions'!D39,"n.a.")</x:f>
        <x:v>n.a.</x:v>
      </x:c>
      <x:c r="U28" s="86" t="str">
        <x:f>IF(COUNT('Assumptions'!D38,'Assumptions'!D39)=2,'Assumptions'!D38*'Assumptions'!D39,"n.a.")</x:f>
        <x:v>n.a.</x:v>
      </x:c>
      <x:c r="V28" s="86" t="str">
        <x:f>IF(COUNT('Assumptions'!E38,'Assumptions'!E39)=2,'Assumptions'!E38*'Assumptions'!E39,"n.a.")</x:f>
        <x:v>n.a.</x:v>
      </x:c>
      <x:c r="W28" s="86" t="str">
        <x:f>IF(COUNT('Assumptions'!E38,'Assumptions'!E39)=2,'Assumptions'!E38*'Assumptions'!E39,"n.a.")</x:f>
        <x:v>n.a.</x:v>
      </x:c>
      <x:c r="X28" s="86" t="str">
        <x:f>IF(COUNT('Assumptions'!E38,'Assumptions'!E39)=2,'Assumptions'!E38*'Assumptions'!E39,"n.a.")</x:f>
        <x:v>n.a.</x:v>
      </x:c>
      <x:c r="Y28" s="86" t="str">
        <x:f>IF(COUNT('Assumptions'!E38,'Assumptions'!E39)=2,'Assumptions'!E38*'Assumptions'!E39,"n.a.")</x:f>
        <x:v>n.a.</x:v>
      </x:c>
      <x:c r="Z28" s="86" t="str">
        <x:f>IF(COUNT('Assumptions'!E38,'Assumptions'!E39)=2,'Assumptions'!E38*'Assumptions'!E39,"n.a.")</x:f>
        <x:v>n.a.</x:v>
      </x:c>
      <x:c r="AA28" s="86" t="str">
        <x:f>IF(COUNT('Assumptions'!E38,'Assumptions'!E39)=2,'Assumptions'!E38*'Assumptions'!E39,"n.a.")</x:f>
        <x:v>n.a.</x:v>
      </x:c>
      <x:c r="AB28" s="86" t="str">
        <x:f>IF(COUNT('Assumptions'!E38,'Assumptions'!E39)=2,'Assumptions'!E38*'Assumptions'!E39,"n.a.")</x:f>
        <x:v>n.a.</x:v>
      </x:c>
      <x:c r="AC28" s="86" t="str">
        <x:f>IF(COUNT('Assumptions'!E38,'Assumptions'!E39)=2,'Assumptions'!E38*'Assumptions'!E39,"n.a.")</x:f>
        <x:v>n.a.</x:v>
      </x:c>
      <x:c r="AD28" s="86" t="str">
        <x:f>IF(COUNT('Assumptions'!E38,'Assumptions'!E39)=2,'Assumptions'!E38*'Assumptions'!E39,"n.a.")</x:f>
        <x:v>n.a.</x:v>
      </x:c>
      <x:c r="AE28" s="86" t="str">
        <x:f>IF(COUNT('Assumptions'!E38,'Assumptions'!E39)=2,'Assumptions'!E38*'Assumptions'!E39,"n.a.")</x:f>
        <x:v>n.a.</x:v>
      </x:c>
      <x:c r="AF28" s="86" t="str">
        <x:f>IF(COUNT('Assumptions'!E38,'Assumptions'!E39)=2,'Assumptions'!E38*'Assumptions'!E39,"n.a.")</x:f>
        <x:v>n.a.</x:v>
      </x:c>
      <x:c r="AG28" s="86" t="str">
        <x:f>IF(COUNT('Assumptions'!E38,'Assumptions'!E39)=2,'Assumptions'!E38*'Assumptions'!E39,"n.a.")</x:f>
        <x:v>n.a.</x:v>
      </x:c>
      <x:c r="AH28" s="86" t="str">
        <x:f>IF(COUNT('Assumptions'!F38,'Assumptions'!F39)=2,'Assumptions'!F38*'Assumptions'!F39,"n.a.")</x:f>
        <x:v>n.a.</x:v>
      </x:c>
      <x:c r="AI28" s="86" t="str">
        <x:f>IF(COUNT('Assumptions'!F38,'Assumptions'!F39)=2,'Assumptions'!F38*'Assumptions'!F39,"n.a.")</x:f>
        <x:v>n.a.</x:v>
      </x:c>
      <x:c r="AJ28" s="86" t="str">
        <x:f>IF(COUNT('Assumptions'!F38,'Assumptions'!F39)=2,'Assumptions'!F38*'Assumptions'!F39,"n.a.")</x:f>
        <x:v>n.a.</x:v>
      </x:c>
      <x:c r="AK28" s="86" t="str">
        <x:f>IF(COUNT('Assumptions'!F38,'Assumptions'!F39)=2,'Assumptions'!F38*'Assumptions'!F39,"n.a.")</x:f>
        <x:v>n.a.</x:v>
      </x:c>
      <x:c r="AL28" s="86" t="str">
        <x:f>IF(COUNT('Assumptions'!F38,'Assumptions'!F39)=2,'Assumptions'!F38*'Assumptions'!F39,"n.a.")</x:f>
        <x:v>n.a.</x:v>
      </x:c>
      <x:c r="AM28" s="86" t="str">
        <x:f>IF(COUNT('Assumptions'!F38,'Assumptions'!F39)=2,'Assumptions'!F38*'Assumptions'!F39,"n.a.")</x:f>
        <x:v>n.a.</x:v>
      </x:c>
      <x:c r="AN28" s="86" t="str">
        <x:f>IF(COUNT('Assumptions'!F38,'Assumptions'!F39)=2,'Assumptions'!F38*'Assumptions'!F39,"n.a.")</x:f>
        <x:v>n.a.</x:v>
      </x:c>
      <x:c r="AO28" s="86" t="str">
        <x:f>IF(COUNT('Assumptions'!F38,'Assumptions'!F39)=2,'Assumptions'!F38*'Assumptions'!F39,"n.a.")</x:f>
        <x:v>n.a.</x:v>
      </x:c>
      <x:c r="AP28" s="86" t="str">
        <x:f>IF(COUNT('Assumptions'!F38,'Assumptions'!F39)=2,'Assumptions'!F38*'Assumptions'!F39,"n.a.")</x:f>
        <x:v>n.a.</x:v>
      </x:c>
      <x:c r="AQ28" s="86" t="str">
        <x:f>IF(COUNT('Assumptions'!F38,'Assumptions'!F39)=2,'Assumptions'!F38*'Assumptions'!F39,"n.a.")</x:f>
        <x:v>n.a.</x:v>
      </x:c>
      <x:c r="AR28" s="86" t="str">
        <x:f>IF(COUNT('Assumptions'!F38,'Assumptions'!F39)=2,'Assumptions'!F38*'Assumptions'!F39,"n.a.")</x:f>
        <x:v>n.a.</x:v>
      </x:c>
      <x:c r="AS28" s="86" t="str">
        <x:f>IF(COUNT('Assumptions'!F38,'Assumptions'!F39)=2,'Assumptions'!F38*'Assumptions'!F39,"n.a.")</x:f>
        <x:v>n.a.</x:v>
      </x:c>
      <x:c r="AT28" s="86" t="str">
        <x:f>IF(COUNT('Assumptions'!G38,'Assumptions'!G39)=2,'Assumptions'!G38*'Assumptions'!G39,"n.a.")</x:f>
        <x:v>n.a.</x:v>
      </x:c>
      <x:c r="AU28" s="86" t="str">
        <x:f>IF(COUNT('Assumptions'!G38,'Assumptions'!G39)=2,'Assumptions'!G38*'Assumptions'!G39,"n.a.")</x:f>
        <x:v>n.a.</x:v>
      </x:c>
      <x:c r="AV28" s="86" t="str">
        <x:f>IF(COUNT('Assumptions'!G38,'Assumptions'!G39)=2,'Assumptions'!G38*'Assumptions'!G39,"n.a.")</x:f>
        <x:v>n.a.</x:v>
      </x:c>
      <x:c r="AW28" s="86" t="str">
        <x:f>IF(COUNT('Assumptions'!G38,'Assumptions'!G39)=2,'Assumptions'!G38*'Assumptions'!G39,"n.a.")</x:f>
        <x:v>n.a.</x:v>
      </x:c>
      <x:c r="AX28" s="86" t="str">
        <x:f>IF(COUNT('Assumptions'!G38,'Assumptions'!G39)=2,'Assumptions'!G38*'Assumptions'!G39,"n.a.")</x:f>
        <x:v>n.a.</x:v>
      </x:c>
      <x:c r="AY28" s="86" t="str">
        <x:f>IF(COUNT('Assumptions'!G38,'Assumptions'!G39)=2,'Assumptions'!G38*'Assumptions'!G39,"n.a.")</x:f>
        <x:v>n.a.</x:v>
      </x:c>
      <x:c r="AZ28" s="86" t="str">
        <x:f>IF(COUNT('Assumptions'!G38,'Assumptions'!G39)=2,'Assumptions'!G38*'Assumptions'!G39,"n.a.")</x:f>
        <x:v>n.a.</x:v>
      </x:c>
      <x:c r="BA28" s="86" t="str">
        <x:f>IF(COUNT('Assumptions'!G38,'Assumptions'!G39)=2,'Assumptions'!G38*'Assumptions'!G39,"n.a.")</x:f>
        <x:v>n.a.</x:v>
      </x:c>
      <x:c r="BB28" s="86" t="str">
        <x:f>IF(COUNT('Assumptions'!G38,'Assumptions'!G39)=2,'Assumptions'!G38*'Assumptions'!G39,"n.a.")</x:f>
        <x:v>n.a.</x:v>
      </x:c>
      <x:c r="BC28" s="86" t="str">
        <x:f>IF(COUNT('Assumptions'!G38,'Assumptions'!G39)=2,'Assumptions'!G38*'Assumptions'!G39,"n.a.")</x:f>
        <x:v>n.a.</x:v>
      </x:c>
      <x:c r="BD28" s="86" t="str">
        <x:f>IF(COUNT('Assumptions'!G38,'Assumptions'!G39)=2,'Assumptions'!G38*'Assumptions'!G39,"n.a.")</x:f>
        <x:v>n.a.</x:v>
      </x:c>
      <x:c r="BE28" s="86" t="str">
        <x:f>IF(COUNT('Assumptions'!G38,'Assumptions'!G39)=2,'Assumptions'!G38*'Assumptions'!G39,"n.a.")</x:f>
        <x:v>n.a.</x:v>
      </x:c>
      <x:c r="BF28" s="86" t="str">
        <x:f>IF(COUNT('Assumptions'!H38,'Assumptions'!H39)=2,'Assumptions'!H38*'Assumptions'!H39,"n.a.")</x:f>
        <x:v>n.a.</x:v>
      </x:c>
      <x:c r="BG28" s="86" t="str">
        <x:f>IF(COUNT('Assumptions'!H38,'Assumptions'!H39)=2,'Assumptions'!H38*'Assumptions'!H39,"n.a.")</x:f>
        <x:v>n.a.</x:v>
      </x:c>
      <x:c r="BH28" s="86" t="str">
        <x:f>IF(COUNT('Assumptions'!H38,'Assumptions'!H39)=2,'Assumptions'!H38*'Assumptions'!H39,"n.a.")</x:f>
        <x:v>n.a.</x:v>
      </x:c>
      <x:c r="BI28" s="86" t="str">
        <x:f>IF(COUNT('Assumptions'!H38,'Assumptions'!H39)=2,'Assumptions'!H38*'Assumptions'!H39,"n.a.")</x:f>
        <x:v>n.a.</x:v>
      </x:c>
      <x:c r="BJ28" s="86" t="str">
        <x:f>IF(COUNT('Assumptions'!H38,'Assumptions'!H39)=2,'Assumptions'!H38*'Assumptions'!H39,"n.a.")</x:f>
        <x:v>n.a.</x:v>
      </x:c>
      <x:c r="BK28" s="86" t="str">
        <x:f>IF(COUNT('Assumptions'!H38,'Assumptions'!H39)=2,'Assumptions'!H38*'Assumptions'!H39,"n.a.")</x:f>
        <x:v>n.a.</x:v>
      </x:c>
      <x:c r="BL28" s="86" t="str">
        <x:f>IF(COUNT('Assumptions'!H38,'Assumptions'!H39)=2,'Assumptions'!H38*'Assumptions'!H39,"n.a.")</x:f>
        <x:v>n.a.</x:v>
      </x:c>
      <x:c r="BM28" s="86" t="str">
        <x:f>IF(COUNT('Assumptions'!H38,'Assumptions'!H39)=2,'Assumptions'!H38*'Assumptions'!H39,"n.a.")</x:f>
        <x:v>n.a.</x:v>
      </x:c>
      <x:c r="BN28" s="86" t="str">
        <x:f>IF(COUNT('Assumptions'!H38,'Assumptions'!H39)=2,'Assumptions'!H38*'Assumptions'!H39,"n.a.")</x:f>
        <x:v>n.a.</x:v>
      </x:c>
      <x:c r="BO28" s="86" t="str">
        <x:f>IF(COUNT('Assumptions'!H38,'Assumptions'!H39)=2,'Assumptions'!H38*'Assumptions'!H39,"n.a.")</x:f>
        <x:v>n.a.</x:v>
      </x:c>
      <x:c r="BP28" s="86" t="str">
        <x:f>IF(COUNT('Assumptions'!H38,'Assumptions'!H39)=2,'Assumptions'!H38*'Assumptions'!H39,"n.a.")</x:f>
        <x:v>n.a.</x:v>
      </x:c>
      <x:c r="BQ28" s="86" t="str">
        <x:f>IF(COUNT('Assumptions'!H38,'Assumptions'!H39)=2,'Assumptions'!H38*'Assumptions'!H39,"n.a.")</x:f>
        <x:v>n.a.</x:v>
      </x:c>
    </x:row>
    <x:row r="29" ht="23" customHeight="1">
      <x:c r="A29" s="2"/>
      <x:c r="B29" s="2"/>
      <x:c r="C29" s="2" t="str">
        <x:v>Other operating costs</x:v>
      </x:c>
      <x:c r="D29" s="79" t="str">
        <x:f>IF(COUNT(J29:U29)=12,SUM(J29:U29),"n.a.")</x:f>
        <x:v>n.a.</x:v>
      </x:c>
      <x:c r="E29" s="79" t="str">
        <x:f>IF(COUNT(V29:AG29)=12,SUM(V29:AG29),"n.a.")</x:f>
        <x:v>n.a.</x:v>
      </x:c>
      <x:c r="F29" s="79" t="str">
        <x:f>IF(COUNT(AH29:AS29)=12,SUM(AH29:AS29),"n.a.")</x:f>
        <x:v>n.a.</x:v>
      </x:c>
      <x:c r="G29" s="79" t="str">
        <x:f>IF(COUNT(AT29:BE29)=12,SUM(AT29:BE29),"n.a.")</x:f>
        <x:v>n.a.</x:v>
      </x:c>
      <x:c r="H29" s="79" t="str">
        <x:f>IF(COUNT(BF29:BQ29)=12,SUM(BF29:BQ29),"n.a.")</x:f>
        <x:v>n.a.</x:v>
      </x:c>
      <x:c r="I29" s="86" t="str">
        <x:f>IF(ISNUMBER('Assumptions'!D40),'Assumptions'!D40,"n.a.")</x:f>
        <x:v>n.a.</x:v>
      </x:c>
      <x:c r="J29" s="86" t="str">
        <x:f>IF(ISNUMBER('Assumptions'!D40),'Assumptions'!D40,"n.a.")</x:f>
        <x:v>n.a.</x:v>
      </x:c>
      <x:c r="K29" s="86" t="str">
        <x:f>IF(ISNUMBER('Assumptions'!D40),'Assumptions'!D40,"n.a.")</x:f>
        <x:v>n.a.</x:v>
      </x:c>
      <x:c r="L29" s="86" t="str">
        <x:f>IF(ISNUMBER('Assumptions'!D40),'Assumptions'!D40,"n.a.")</x:f>
        <x:v>n.a.</x:v>
      </x:c>
      <x:c r="M29" s="86" t="str">
        <x:f>IF(ISNUMBER('Assumptions'!D40),'Assumptions'!D40,"n.a.")</x:f>
        <x:v>n.a.</x:v>
      </x:c>
      <x:c r="N29" s="86" t="str">
        <x:f>IF(ISNUMBER('Assumptions'!D40),'Assumptions'!D40,"n.a.")</x:f>
        <x:v>n.a.</x:v>
      </x:c>
      <x:c r="O29" s="86" t="str">
        <x:f>IF(ISNUMBER('Assumptions'!D40),'Assumptions'!D40,"n.a.")</x:f>
        <x:v>n.a.</x:v>
      </x:c>
      <x:c r="P29" s="86" t="str">
        <x:f>IF(ISNUMBER('Assumptions'!D40),'Assumptions'!D40,"n.a.")</x:f>
        <x:v>n.a.</x:v>
      </x:c>
      <x:c r="Q29" s="86" t="str">
        <x:f>IF(ISNUMBER('Assumptions'!D40),'Assumptions'!D40,"n.a.")</x:f>
        <x:v>n.a.</x:v>
      </x:c>
      <x:c r="R29" s="86" t="str">
        <x:f>IF(ISNUMBER('Assumptions'!D40),'Assumptions'!D40,"n.a.")</x:f>
        <x:v>n.a.</x:v>
      </x:c>
      <x:c r="S29" s="86" t="str">
        <x:f>IF(ISNUMBER('Assumptions'!D40),'Assumptions'!D40,"n.a.")</x:f>
        <x:v>n.a.</x:v>
      </x:c>
      <x:c r="T29" s="86" t="str">
        <x:f>IF(ISNUMBER('Assumptions'!D40),'Assumptions'!D40,"n.a.")</x:f>
        <x:v>n.a.</x:v>
      </x:c>
      <x:c r="U29" s="86" t="str">
        <x:f>IF(ISNUMBER('Assumptions'!D40),'Assumptions'!D40,"n.a.")</x:f>
        <x:v>n.a.</x:v>
      </x:c>
      <x:c r="V29" s="86" t="str">
        <x:f>IF(ISNUMBER('Assumptions'!E40),'Assumptions'!E40,"n.a.")</x:f>
        <x:v>n.a.</x:v>
      </x:c>
      <x:c r="W29" s="86" t="str">
        <x:f>IF(ISNUMBER('Assumptions'!E40),'Assumptions'!E40,"n.a.")</x:f>
        <x:v>n.a.</x:v>
      </x:c>
      <x:c r="X29" s="86" t="str">
        <x:f>IF(ISNUMBER('Assumptions'!E40),'Assumptions'!E40,"n.a.")</x:f>
        <x:v>n.a.</x:v>
      </x:c>
      <x:c r="Y29" s="86" t="str">
        <x:f>IF(ISNUMBER('Assumptions'!E40),'Assumptions'!E40,"n.a.")</x:f>
        <x:v>n.a.</x:v>
      </x:c>
      <x:c r="Z29" s="86" t="str">
        <x:f>IF(ISNUMBER('Assumptions'!E40),'Assumptions'!E40,"n.a.")</x:f>
        <x:v>n.a.</x:v>
      </x:c>
      <x:c r="AA29" s="86" t="str">
        <x:f>IF(ISNUMBER('Assumptions'!E40),'Assumptions'!E40,"n.a.")</x:f>
        <x:v>n.a.</x:v>
      </x:c>
      <x:c r="AB29" s="86" t="str">
        <x:f>IF(ISNUMBER('Assumptions'!E40),'Assumptions'!E40,"n.a.")</x:f>
        <x:v>n.a.</x:v>
      </x:c>
      <x:c r="AC29" s="86" t="str">
        <x:f>IF(ISNUMBER('Assumptions'!E40),'Assumptions'!E40,"n.a.")</x:f>
        <x:v>n.a.</x:v>
      </x:c>
      <x:c r="AD29" s="86" t="str">
        <x:f>IF(ISNUMBER('Assumptions'!E40),'Assumptions'!E40,"n.a.")</x:f>
        <x:v>n.a.</x:v>
      </x:c>
      <x:c r="AE29" s="86" t="str">
        <x:f>IF(ISNUMBER('Assumptions'!E40),'Assumptions'!E40,"n.a.")</x:f>
        <x:v>n.a.</x:v>
      </x:c>
      <x:c r="AF29" s="86" t="str">
        <x:f>IF(ISNUMBER('Assumptions'!E40),'Assumptions'!E40,"n.a.")</x:f>
        <x:v>n.a.</x:v>
      </x:c>
      <x:c r="AG29" s="86" t="str">
        <x:f>IF(ISNUMBER('Assumptions'!E40),'Assumptions'!E40,"n.a.")</x:f>
        <x:v>n.a.</x:v>
      </x:c>
      <x:c r="AH29" s="86" t="str">
        <x:f>IF(ISNUMBER('Assumptions'!F40),'Assumptions'!F40,"n.a.")</x:f>
        <x:v>n.a.</x:v>
      </x:c>
      <x:c r="AI29" s="86" t="str">
        <x:f>IF(ISNUMBER('Assumptions'!F40),'Assumptions'!F40,"n.a.")</x:f>
        <x:v>n.a.</x:v>
      </x:c>
      <x:c r="AJ29" s="86" t="str">
        <x:f>IF(ISNUMBER('Assumptions'!F40),'Assumptions'!F40,"n.a.")</x:f>
        <x:v>n.a.</x:v>
      </x:c>
      <x:c r="AK29" s="86" t="str">
        <x:f>IF(ISNUMBER('Assumptions'!F40),'Assumptions'!F40,"n.a.")</x:f>
        <x:v>n.a.</x:v>
      </x:c>
      <x:c r="AL29" s="86" t="str">
        <x:f>IF(ISNUMBER('Assumptions'!F40),'Assumptions'!F40,"n.a.")</x:f>
        <x:v>n.a.</x:v>
      </x:c>
      <x:c r="AM29" s="86" t="str">
        <x:f>IF(ISNUMBER('Assumptions'!F40),'Assumptions'!F40,"n.a.")</x:f>
        <x:v>n.a.</x:v>
      </x:c>
      <x:c r="AN29" s="86" t="str">
        <x:f>IF(ISNUMBER('Assumptions'!F40),'Assumptions'!F40,"n.a.")</x:f>
        <x:v>n.a.</x:v>
      </x:c>
      <x:c r="AO29" s="86" t="str">
        <x:f>IF(ISNUMBER('Assumptions'!F40),'Assumptions'!F40,"n.a.")</x:f>
        <x:v>n.a.</x:v>
      </x:c>
      <x:c r="AP29" s="86" t="str">
        <x:f>IF(ISNUMBER('Assumptions'!F40),'Assumptions'!F40,"n.a.")</x:f>
        <x:v>n.a.</x:v>
      </x:c>
      <x:c r="AQ29" s="86" t="str">
        <x:f>IF(ISNUMBER('Assumptions'!F40),'Assumptions'!F40,"n.a.")</x:f>
        <x:v>n.a.</x:v>
      </x:c>
      <x:c r="AR29" s="86" t="str">
        <x:f>IF(ISNUMBER('Assumptions'!F40),'Assumptions'!F40,"n.a.")</x:f>
        <x:v>n.a.</x:v>
      </x:c>
      <x:c r="AS29" s="86" t="str">
        <x:f>IF(ISNUMBER('Assumptions'!F40),'Assumptions'!F40,"n.a.")</x:f>
        <x:v>n.a.</x:v>
      </x:c>
      <x:c r="AT29" s="86" t="str">
        <x:f>IF(ISNUMBER('Assumptions'!G40),'Assumptions'!G40,"n.a.")</x:f>
        <x:v>n.a.</x:v>
      </x:c>
      <x:c r="AU29" s="86" t="str">
        <x:f>IF(ISNUMBER('Assumptions'!G40),'Assumptions'!G40,"n.a.")</x:f>
        <x:v>n.a.</x:v>
      </x:c>
      <x:c r="AV29" s="86" t="str">
        <x:f>IF(ISNUMBER('Assumptions'!G40),'Assumptions'!G40,"n.a.")</x:f>
        <x:v>n.a.</x:v>
      </x:c>
      <x:c r="AW29" s="86" t="str">
        <x:f>IF(ISNUMBER('Assumptions'!G40),'Assumptions'!G40,"n.a.")</x:f>
        <x:v>n.a.</x:v>
      </x:c>
      <x:c r="AX29" s="86" t="str">
        <x:f>IF(ISNUMBER('Assumptions'!G40),'Assumptions'!G40,"n.a.")</x:f>
        <x:v>n.a.</x:v>
      </x:c>
      <x:c r="AY29" s="86" t="str">
        <x:f>IF(ISNUMBER('Assumptions'!G40),'Assumptions'!G40,"n.a.")</x:f>
        <x:v>n.a.</x:v>
      </x:c>
      <x:c r="AZ29" s="86" t="str">
        <x:f>IF(ISNUMBER('Assumptions'!G40),'Assumptions'!G40,"n.a.")</x:f>
        <x:v>n.a.</x:v>
      </x:c>
      <x:c r="BA29" s="86" t="str">
        <x:f>IF(ISNUMBER('Assumptions'!G40),'Assumptions'!G40,"n.a.")</x:f>
        <x:v>n.a.</x:v>
      </x:c>
      <x:c r="BB29" s="86" t="str">
        <x:f>IF(ISNUMBER('Assumptions'!G40),'Assumptions'!G40,"n.a.")</x:f>
        <x:v>n.a.</x:v>
      </x:c>
      <x:c r="BC29" s="86" t="str">
        <x:f>IF(ISNUMBER('Assumptions'!G40),'Assumptions'!G40,"n.a.")</x:f>
        <x:v>n.a.</x:v>
      </x:c>
      <x:c r="BD29" s="86" t="str">
        <x:f>IF(ISNUMBER('Assumptions'!G40),'Assumptions'!G40,"n.a.")</x:f>
        <x:v>n.a.</x:v>
      </x:c>
      <x:c r="BE29" s="86" t="str">
        <x:f>IF(ISNUMBER('Assumptions'!G40),'Assumptions'!G40,"n.a.")</x:f>
        <x:v>n.a.</x:v>
      </x:c>
      <x:c r="BF29" s="86" t="str">
        <x:f>IF(ISNUMBER('Assumptions'!H40),'Assumptions'!H40,"n.a.")</x:f>
        <x:v>n.a.</x:v>
      </x:c>
      <x:c r="BG29" s="86" t="str">
        <x:f>IF(ISNUMBER('Assumptions'!H40),'Assumptions'!H40,"n.a.")</x:f>
        <x:v>n.a.</x:v>
      </x:c>
      <x:c r="BH29" s="86" t="str">
        <x:f>IF(ISNUMBER('Assumptions'!H40),'Assumptions'!H40,"n.a.")</x:f>
        <x:v>n.a.</x:v>
      </x:c>
      <x:c r="BI29" s="86" t="str">
        <x:f>IF(ISNUMBER('Assumptions'!H40),'Assumptions'!H40,"n.a.")</x:f>
        <x:v>n.a.</x:v>
      </x:c>
      <x:c r="BJ29" s="86" t="str">
        <x:f>IF(ISNUMBER('Assumptions'!H40),'Assumptions'!H40,"n.a.")</x:f>
        <x:v>n.a.</x:v>
      </x:c>
      <x:c r="BK29" s="86" t="str">
        <x:f>IF(ISNUMBER('Assumptions'!H40),'Assumptions'!H40,"n.a.")</x:f>
        <x:v>n.a.</x:v>
      </x:c>
      <x:c r="BL29" s="86" t="str">
        <x:f>IF(ISNUMBER('Assumptions'!H40),'Assumptions'!H40,"n.a.")</x:f>
        <x:v>n.a.</x:v>
      </x:c>
      <x:c r="BM29" s="86" t="str">
        <x:f>IF(ISNUMBER('Assumptions'!H40),'Assumptions'!H40,"n.a.")</x:f>
        <x:v>n.a.</x:v>
      </x:c>
      <x:c r="BN29" s="86" t="str">
        <x:f>IF(ISNUMBER('Assumptions'!H40),'Assumptions'!H40,"n.a.")</x:f>
        <x:v>n.a.</x:v>
      </x:c>
      <x:c r="BO29" s="86" t="str">
        <x:f>IF(ISNUMBER('Assumptions'!H40),'Assumptions'!H40,"n.a.")</x:f>
        <x:v>n.a.</x:v>
      </x:c>
      <x:c r="BP29" s="86" t="str">
        <x:f>IF(ISNUMBER('Assumptions'!H40),'Assumptions'!H40,"n.a.")</x:f>
        <x:v>n.a.</x:v>
      </x:c>
      <x:c r="BQ29" s="86" t="str">
        <x:f>IF(ISNUMBER('Assumptions'!H40),'Assumptions'!H40,"n.a.")</x:f>
        <x:v>n.a.</x:v>
      </x:c>
    </x:row>
    <x:row r="30" ht="25" customHeight="1">
      <x:c r="A30" s="2"/>
      <x:c r="B30" s="2"/>
      <x:c r="C30" s="84" t="str">
        <x:v>Total operating expenses</x:v>
      </x:c>
      <x:c r="D30" s="85" t="str">
        <x:f>IF(COUNT(J30:U30)=12,SUM(J30:U30),"n.a.")</x:f>
        <x:v>n.a.</x:v>
      </x:c>
      <x:c r="E30" s="85" t="str">
        <x:f>IF(COUNT(V30:AG30)=12,SUM(V30:AG30),"n.a.")</x:f>
        <x:v>n.a.</x:v>
      </x:c>
      <x:c r="F30" s="85" t="str">
        <x:f>IF(COUNT(AH30:AS30)=12,SUM(AH30:AS30),"n.a.")</x:f>
        <x:v>n.a.</x:v>
      </x:c>
      <x:c r="G30" s="85" t="str">
        <x:f>IF(COUNT(AT30:BE30)=12,SUM(AT30:BE30),"n.a.")</x:f>
        <x:v>n.a.</x:v>
      </x:c>
      <x:c r="H30" s="85" t="str">
        <x:f>IF(COUNT(BF30:BQ30)=12,SUM(BF30:BQ30),"n.a.")</x:f>
        <x:v>n.a.</x:v>
      </x:c>
      <x:c r="I30" s="85" t="str">
        <x:f>IF(COUNT(I24:I29)=6,SUM(I24:I29),"n.a.")</x:f>
        <x:v>n.a.</x:v>
      </x:c>
      <x:c r="J30" s="85" t="str">
        <x:f>IF(COUNT(J24:J29)=6,SUM(J24:J29),"n.a.")</x:f>
        <x:v>n.a.</x:v>
      </x:c>
      <x:c r="K30" s="85" t="str">
        <x:f>IF(COUNT(K24:K29)=6,SUM(K24:K29),"n.a.")</x:f>
        <x:v>n.a.</x:v>
      </x:c>
      <x:c r="L30" s="85" t="str">
        <x:f>IF(COUNT(L24:L29)=6,SUM(L24:L29),"n.a.")</x:f>
        <x:v>n.a.</x:v>
      </x:c>
      <x:c r="M30" s="85" t="str">
        <x:f>IF(COUNT(M24:M29)=6,SUM(M24:M29),"n.a.")</x:f>
        <x:v>n.a.</x:v>
      </x:c>
      <x:c r="N30" s="85" t="str">
        <x:f>IF(COUNT(N24:N29)=6,SUM(N24:N29),"n.a.")</x:f>
        <x:v>n.a.</x:v>
      </x:c>
      <x:c r="O30" s="85" t="str">
        <x:f>IF(COUNT(O24:O29)=6,SUM(O24:O29),"n.a.")</x:f>
        <x:v>n.a.</x:v>
      </x:c>
      <x:c r="P30" s="85" t="str">
        <x:f>IF(COUNT(P24:P29)=6,SUM(P24:P29),"n.a.")</x:f>
        <x:v>n.a.</x:v>
      </x:c>
      <x:c r="Q30" s="85" t="str">
        <x:f>IF(COUNT(Q24:Q29)=6,SUM(Q24:Q29),"n.a.")</x:f>
        <x:v>n.a.</x:v>
      </x:c>
      <x:c r="R30" s="85" t="str">
        <x:f>IF(COUNT(R24:R29)=6,SUM(R24:R29),"n.a.")</x:f>
        <x:v>n.a.</x:v>
      </x:c>
      <x:c r="S30" s="85" t="str">
        <x:f>IF(COUNT(S24:S29)=6,SUM(S24:S29),"n.a.")</x:f>
        <x:v>n.a.</x:v>
      </x:c>
      <x:c r="T30" s="85" t="str">
        <x:f>IF(COUNT(T24:T29)=6,SUM(T24:T29),"n.a.")</x:f>
        <x:v>n.a.</x:v>
      </x:c>
      <x:c r="U30" s="85" t="str">
        <x:f>IF(COUNT(U24:U29)=6,SUM(U24:U29),"n.a.")</x:f>
        <x:v>n.a.</x:v>
      </x:c>
      <x:c r="V30" s="85" t="str">
        <x:f>IF(COUNT(V24:V29)=6,SUM(V24:V29),"n.a.")</x:f>
        <x:v>n.a.</x:v>
      </x:c>
      <x:c r="W30" s="85" t="str">
        <x:f>IF(COUNT(W24:W29)=6,SUM(W24:W29),"n.a.")</x:f>
        <x:v>n.a.</x:v>
      </x:c>
      <x:c r="X30" s="85" t="str">
        <x:f>IF(COUNT(X24:X29)=6,SUM(X24:X29),"n.a.")</x:f>
        <x:v>n.a.</x:v>
      </x:c>
      <x:c r="Y30" s="85" t="str">
        <x:f>IF(COUNT(Y24:Y29)=6,SUM(Y24:Y29),"n.a.")</x:f>
        <x:v>n.a.</x:v>
      </x:c>
      <x:c r="Z30" s="85" t="str">
        <x:f>IF(COUNT(Z24:Z29)=6,SUM(Z24:Z29),"n.a.")</x:f>
        <x:v>n.a.</x:v>
      </x:c>
      <x:c r="AA30" s="85" t="str">
        <x:f>IF(COUNT(AA24:AA29)=6,SUM(AA24:AA29),"n.a.")</x:f>
        <x:v>n.a.</x:v>
      </x:c>
      <x:c r="AB30" s="85" t="str">
        <x:f>IF(COUNT(AB24:AB29)=6,SUM(AB24:AB29),"n.a.")</x:f>
        <x:v>n.a.</x:v>
      </x:c>
      <x:c r="AC30" s="85" t="str">
        <x:f>IF(COUNT(AC24:AC29)=6,SUM(AC24:AC29),"n.a.")</x:f>
        <x:v>n.a.</x:v>
      </x:c>
      <x:c r="AD30" s="85" t="str">
        <x:f>IF(COUNT(AD24:AD29)=6,SUM(AD24:AD29),"n.a.")</x:f>
        <x:v>n.a.</x:v>
      </x:c>
      <x:c r="AE30" s="85" t="str">
        <x:f>IF(COUNT(AE24:AE29)=6,SUM(AE24:AE29),"n.a.")</x:f>
        <x:v>n.a.</x:v>
      </x:c>
      <x:c r="AF30" s="85" t="str">
        <x:f>IF(COUNT(AF24:AF29)=6,SUM(AF24:AF29),"n.a.")</x:f>
        <x:v>n.a.</x:v>
      </x:c>
      <x:c r="AG30" s="85" t="str">
        <x:f>IF(COUNT(AG24:AG29)=6,SUM(AG24:AG29),"n.a.")</x:f>
        <x:v>n.a.</x:v>
      </x:c>
      <x:c r="AH30" s="85" t="str">
        <x:f>IF(COUNT(AH24:AH29)=6,SUM(AH24:AH29),"n.a.")</x:f>
        <x:v>n.a.</x:v>
      </x:c>
      <x:c r="AI30" s="85" t="str">
        <x:f>IF(COUNT(AI24:AI29)=6,SUM(AI24:AI29),"n.a.")</x:f>
        <x:v>n.a.</x:v>
      </x:c>
      <x:c r="AJ30" s="85" t="str">
        <x:f>IF(COUNT(AJ24:AJ29)=6,SUM(AJ24:AJ29),"n.a.")</x:f>
        <x:v>n.a.</x:v>
      </x:c>
      <x:c r="AK30" s="85" t="str">
        <x:f>IF(COUNT(AK24:AK29)=6,SUM(AK24:AK29),"n.a.")</x:f>
        <x:v>n.a.</x:v>
      </x:c>
      <x:c r="AL30" s="85" t="str">
        <x:f>IF(COUNT(AL24:AL29)=6,SUM(AL24:AL29),"n.a.")</x:f>
        <x:v>n.a.</x:v>
      </x:c>
      <x:c r="AM30" s="85" t="str">
        <x:f>IF(COUNT(AM24:AM29)=6,SUM(AM24:AM29),"n.a.")</x:f>
        <x:v>n.a.</x:v>
      </x:c>
      <x:c r="AN30" s="85" t="str">
        <x:f>IF(COUNT(AN24:AN29)=6,SUM(AN24:AN29),"n.a.")</x:f>
        <x:v>n.a.</x:v>
      </x:c>
      <x:c r="AO30" s="85" t="str">
        <x:f>IF(COUNT(AO24:AO29)=6,SUM(AO24:AO29),"n.a.")</x:f>
        <x:v>n.a.</x:v>
      </x:c>
      <x:c r="AP30" s="85" t="str">
        <x:f>IF(COUNT(AP24:AP29)=6,SUM(AP24:AP29),"n.a.")</x:f>
        <x:v>n.a.</x:v>
      </x:c>
      <x:c r="AQ30" s="85" t="str">
        <x:f>IF(COUNT(AQ24:AQ29)=6,SUM(AQ24:AQ29),"n.a.")</x:f>
        <x:v>n.a.</x:v>
      </x:c>
      <x:c r="AR30" s="85" t="str">
        <x:f>IF(COUNT(AR24:AR29)=6,SUM(AR24:AR29),"n.a.")</x:f>
        <x:v>n.a.</x:v>
      </x:c>
      <x:c r="AS30" s="85" t="str">
        <x:f>IF(COUNT(AS24:AS29)=6,SUM(AS24:AS29),"n.a.")</x:f>
        <x:v>n.a.</x:v>
      </x:c>
      <x:c r="AT30" s="85" t="str">
        <x:f>IF(COUNT(AT24:AT29)=6,SUM(AT24:AT29),"n.a.")</x:f>
        <x:v>n.a.</x:v>
      </x:c>
      <x:c r="AU30" s="85" t="str">
        <x:f>IF(COUNT(AU24:AU29)=6,SUM(AU24:AU29),"n.a.")</x:f>
        <x:v>n.a.</x:v>
      </x:c>
      <x:c r="AV30" s="85" t="str">
        <x:f>IF(COUNT(AV24:AV29)=6,SUM(AV24:AV29),"n.a.")</x:f>
        <x:v>n.a.</x:v>
      </x:c>
      <x:c r="AW30" s="85" t="str">
        <x:f>IF(COUNT(AW24:AW29)=6,SUM(AW24:AW29),"n.a.")</x:f>
        <x:v>n.a.</x:v>
      </x:c>
      <x:c r="AX30" s="85" t="str">
        <x:f>IF(COUNT(AX24:AX29)=6,SUM(AX24:AX29),"n.a.")</x:f>
        <x:v>n.a.</x:v>
      </x:c>
      <x:c r="AY30" s="85" t="str">
        <x:f>IF(COUNT(AY24:AY29)=6,SUM(AY24:AY29),"n.a.")</x:f>
        <x:v>n.a.</x:v>
      </x:c>
      <x:c r="AZ30" s="85" t="str">
        <x:f>IF(COUNT(AZ24:AZ29)=6,SUM(AZ24:AZ29),"n.a.")</x:f>
        <x:v>n.a.</x:v>
      </x:c>
      <x:c r="BA30" s="85" t="str">
        <x:f>IF(COUNT(BA24:BA29)=6,SUM(BA24:BA29),"n.a.")</x:f>
        <x:v>n.a.</x:v>
      </x:c>
      <x:c r="BB30" s="85" t="str">
        <x:f>IF(COUNT(BB24:BB29)=6,SUM(BB24:BB29),"n.a.")</x:f>
        <x:v>n.a.</x:v>
      </x:c>
      <x:c r="BC30" s="85" t="str">
        <x:f>IF(COUNT(BC24:BC29)=6,SUM(BC24:BC29),"n.a.")</x:f>
        <x:v>n.a.</x:v>
      </x:c>
      <x:c r="BD30" s="85" t="str">
        <x:f>IF(COUNT(BD24:BD29)=6,SUM(BD24:BD29),"n.a.")</x:f>
        <x:v>n.a.</x:v>
      </x:c>
      <x:c r="BE30" s="85" t="str">
        <x:f>IF(COUNT(BE24:BE29)=6,SUM(BE24:BE29),"n.a.")</x:f>
        <x:v>n.a.</x:v>
      </x:c>
      <x:c r="BF30" s="85" t="str">
        <x:f>IF(COUNT(BF24:BF29)=6,SUM(BF24:BF29),"n.a.")</x:f>
        <x:v>n.a.</x:v>
      </x:c>
      <x:c r="BG30" s="85" t="str">
        <x:f>IF(COUNT(BG24:BG29)=6,SUM(BG24:BG29),"n.a.")</x:f>
        <x:v>n.a.</x:v>
      </x:c>
      <x:c r="BH30" s="85" t="str">
        <x:f>IF(COUNT(BH24:BH29)=6,SUM(BH24:BH29),"n.a.")</x:f>
        <x:v>n.a.</x:v>
      </x:c>
      <x:c r="BI30" s="85" t="str">
        <x:f>IF(COUNT(BI24:BI29)=6,SUM(BI24:BI29),"n.a.")</x:f>
        <x:v>n.a.</x:v>
      </x:c>
      <x:c r="BJ30" s="85" t="str">
        <x:f>IF(COUNT(BJ24:BJ29)=6,SUM(BJ24:BJ29),"n.a.")</x:f>
        <x:v>n.a.</x:v>
      </x:c>
      <x:c r="BK30" s="85" t="str">
        <x:f>IF(COUNT(BK24:BK29)=6,SUM(BK24:BK29),"n.a.")</x:f>
        <x:v>n.a.</x:v>
      </x:c>
      <x:c r="BL30" s="85" t="str">
        <x:f>IF(COUNT(BL24:BL29)=6,SUM(BL24:BL29),"n.a.")</x:f>
        <x:v>n.a.</x:v>
      </x:c>
      <x:c r="BM30" s="85" t="str">
        <x:f>IF(COUNT(BM24:BM29)=6,SUM(BM24:BM29),"n.a.")</x:f>
        <x:v>n.a.</x:v>
      </x:c>
      <x:c r="BN30" s="85" t="str">
        <x:f>IF(COUNT(BN24:BN29)=6,SUM(BN24:BN29),"n.a.")</x:f>
        <x:v>n.a.</x:v>
      </x:c>
      <x:c r="BO30" s="85" t="str">
        <x:f>IF(COUNT(BO24:BO29)=6,SUM(BO24:BO29),"n.a.")</x:f>
        <x:v>n.a.</x:v>
      </x:c>
      <x:c r="BP30" s="85" t="str">
        <x:f>IF(COUNT(BP24:BP29)=6,SUM(BP24:BP29),"n.a.")</x:f>
        <x:v>n.a.</x:v>
      </x:c>
      <x:c r="BQ30" s="85" t="str">
        <x:f>IF(COUNT(BQ24:BQ29)=6,SUM(BQ24:BQ29),"n.a.")</x:f>
        <x:v>n.a.</x:v>
      </x:c>
    </x:row>
    <x:row r="31" ht="23" customHeight="1">
      <x:c r="A31" s="2"/>
      <x:c r="B31" s="2"/>
      <x:c r="C31" s="2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  <x:c r="AP31" s="4"/>
      <x:c r="AQ31" s="4"/>
      <x:c r="AR31" s="4"/>
      <x:c r="AS31" s="4"/>
      <x:c r="AT31" s="4"/>
      <x:c r="AU31" s="4"/>
      <x:c r="AV31" s="4"/>
      <x:c r="AW31" s="4"/>
      <x:c r="AX31" s="4"/>
      <x:c r="AY31" s="4"/>
      <x:c r="AZ31" s="4"/>
      <x:c r="BA31" s="4"/>
      <x:c r="BB31" s="4"/>
      <x:c r="BC31" s="4"/>
      <x:c r="BD31" s="4"/>
      <x:c r="BE31" s="4"/>
      <x:c r="BF31" s="4"/>
      <x:c r="BG31" s="4"/>
      <x:c r="BH31" s="4"/>
      <x:c r="BI31" s="4"/>
      <x:c r="BJ31" s="4"/>
      <x:c r="BK31" s="4"/>
      <x:c r="BL31" s="4"/>
      <x:c r="BM31" s="4"/>
      <x:c r="BN31" s="4"/>
      <x:c r="BO31" s="4"/>
      <x:c r="BP31" s="4"/>
      <x:c r="BQ31" s="4"/>
    </x:row>
    <x:row r="32" ht="25" customHeight="1">
      <x:c r="A32" s="2"/>
      <x:c r="B32" s="2"/>
      <x:c r="C32" s="84" t="str">
        <x:v>EBITDA</x:v>
      </x:c>
      <x:c r="D32" s="85" t="str">
        <x:f>IF(COUNT(J32:U32)=12,SUM(J32:U32),"n.a.")</x:f>
        <x:v>n.a.</x:v>
      </x:c>
      <x:c r="E32" s="85" t="str">
        <x:f>IF(COUNT(V32:AG32)=12,SUM(V32:AG32),"n.a.")</x:f>
        <x:v>n.a.</x:v>
      </x:c>
      <x:c r="F32" s="85" t="str">
        <x:f>IF(COUNT(AH32:AS32)=12,SUM(AH32:AS32),"n.a.")</x:f>
        <x:v>n.a.</x:v>
      </x:c>
      <x:c r="G32" s="85" t="str">
        <x:f>IF(COUNT(AT32:BE32)=12,SUM(AT32:BE32),"n.a.")</x:f>
        <x:v>n.a.</x:v>
      </x:c>
      <x:c r="H32" s="85" t="str">
        <x:f>IF(COUNT(BF32:BQ32)=12,SUM(BF32:BQ32),"n.a.")</x:f>
        <x:v>n.a.</x:v>
      </x:c>
      <x:c r="I32" s="85" t="str">
        <x:f>IF(COUNT(I20,I30)=2,I20-I30,"n.a.")</x:f>
        <x:v>n.a.</x:v>
      </x:c>
      <x:c r="J32" s="85" t="str">
        <x:f>IF(COUNT(J20,J30)=2,J20-J30,"n.a.")</x:f>
        <x:v>n.a.</x:v>
      </x:c>
      <x:c r="K32" s="85" t="str">
        <x:f>IF(COUNT(K20,K30)=2,K20-K30,"n.a.")</x:f>
        <x:v>n.a.</x:v>
      </x:c>
      <x:c r="L32" s="85" t="str">
        <x:f>IF(COUNT(L20,L30)=2,L20-L30,"n.a.")</x:f>
        <x:v>n.a.</x:v>
      </x:c>
      <x:c r="M32" s="85" t="str">
        <x:f>IF(COUNT(M20,M30)=2,M20-M30,"n.a.")</x:f>
        <x:v>n.a.</x:v>
      </x:c>
      <x:c r="N32" s="85" t="str">
        <x:f>IF(COUNT(N20,N30)=2,N20-N30,"n.a.")</x:f>
        <x:v>n.a.</x:v>
      </x:c>
      <x:c r="O32" s="85" t="str">
        <x:f>IF(COUNT(O20,O30)=2,O20-O30,"n.a.")</x:f>
        <x:v>n.a.</x:v>
      </x:c>
      <x:c r="P32" s="85" t="str">
        <x:f>IF(COUNT(P20,P30)=2,P20-P30,"n.a.")</x:f>
        <x:v>n.a.</x:v>
      </x:c>
      <x:c r="Q32" s="85" t="str">
        <x:f>IF(COUNT(Q20,Q30)=2,Q20-Q30,"n.a.")</x:f>
        <x:v>n.a.</x:v>
      </x:c>
      <x:c r="R32" s="85" t="str">
        <x:f>IF(COUNT(R20,R30)=2,R20-R30,"n.a.")</x:f>
        <x:v>n.a.</x:v>
      </x:c>
      <x:c r="S32" s="85" t="str">
        <x:f>IF(COUNT(S20,S30)=2,S20-S30,"n.a.")</x:f>
        <x:v>n.a.</x:v>
      </x:c>
      <x:c r="T32" s="85" t="str">
        <x:f>IF(COUNT(T20,T30)=2,T20-T30,"n.a.")</x:f>
        <x:v>n.a.</x:v>
      </x:c>
      <x:c r="U32" s="85" t="str">
        <x:f>IF(COUNT(U20,U30)=2,U20-U30,"n.a.")</x:f>
        <x:v>n.a.</x:v>
      </x:c>
      <x:c r="V32" s="85" t="str">
        <x:f>IF(COUNT(V20,V30)=2,V20-V30,"n.a.")</x:f>
        <x:v>n.a.</x:v>
      </x:c>
      <x:c r="W32" s="85" t="str">
        <x:f>IF(COUNT(W20,W30)=2,W20-W30,"n.a.")</x:f>
        <x:v>n.a.</x:v>
      </x:c>
      <x:c r="X32" s="85" t="str">
        <x:f>IF(COUNT(X20,X30)=2,X20-X30,"n.a.")</x:f>
        <x:v>n.a.</x:v>
      </x:c>
      <x:c r="Y32" s="85" t="str">
        <x:f>IF(COUNT(Y20,Y30)=2,Y20-Y30,"n.a.")</x:f>
        <x:v>n.a.</x:v>
      </x:c>
      <x:c r="Z32" s="85" t="str">
        <x:f>IF(COUNT(Z20,Z30)=2,Z20-Z30,"n.a.")</x:f>
        <x:v>n.a.</x:v>
      </x:c>
      <x:c r="AA32" s="85" t="str">
        <x:f>IF(COUNT(AA20,AA30)=2,AA20-AA30,"n.a.")</x:f>
        <x:v>n.a.</x:v>
      </x:c>
      <x:c r="AB32" s="85" t="str">
        <x:f>IF(COUNT(AB20,AB30)=2,AB20-AB30,"n.a.")</x:f>
        <x:v>n.a.</x:v>
      </x:c>
      <x:c r="AC32" s="85" t="str">
        <x:f>IF(COUNT(AC20,AC30)=2,AC20-AC30,"n.a.")</x:f>
        <x:v>n.a.</x:v>
      </x:c>
      <x:c r="AD32" s="85" t="str">
        <x:f>IF(COUNT(AD20,AD30)=2,AD20-AD30,"n.a.")</x:f>
        <x:v>n.a.</x:v>
      </x:c>
      <x:c r="AE32" s="85" t="str">
        <x:f>IF(COUNT(AE20,AE30)=2,AE20-AE30,"n.a.")</x:f>
        <x:v>n.a.</x:v>
      </x:c>
      <x:c r="AF32" s="85" t="str">
        <x:f>IF(COUNT(AF20,AF30)=2,AF20-AF30,"n.a.")</x:f>
        <x:v>n.a.</x:v>
      </x:c>
      <x:c r="AG32" s="85" t="str">
        <x:f>IF(COUNT(AG20,AG30)=2,AG20-AG30,"n.a.")</x:f>
        <x:v>n.a.</x:v>
      </x:c>
      <x:c r="AH32" s="85" t="str">
        <x:f>IF(COUNT(AH20,AH30)=2,AH20-AH30,"n.a.")</x:f>
        <x:v>n.a.</x:v>
      </x:c>
      <x:c r="AI32" s="85" t="str">
        <x:f>IF(COUNT(AI20,AI30)=2,AI20-AI30,"n.a.")</x:f>
        <x:v>n.a.</x:v>
      </x:c>
      <x:c r="AJ32" s="85" t="str">
        <x:f>IF(COUNT(AJ20,AJ30)=2,AJ20-AJ30,"n.a.")</x:f>
        <x:v>n.a.</x:v>
      </x:c>
      <x:c r="AK32" s="85" t="str">
        <x:f>IF(COUNT(AK20,AK30)=2,AK20-AK30,"n.a.")</x:f>
        <x:v>n.a.</x:v>
      </x:c>
      <x:c r="AL32" s="85" t="str">
        <x:f>IF(COUNT(AL20,AL30)=2,AL20-AL30,"n.a.")</x:f>
        <x:v>n.a.</x:v>
      </x:c>
      <x:c r="AM32" s="85" t="str">
        <x:f>IF(COUNT(AM20,AM30)=2,AM20-AM30,"n.a.")</x:f>
        <x:v>n.a.</x:v>
      </x:c>
      <x:c r="AN32" s="85" t="str">
        <x:f>IF(COUNT(AN20,AN30)=2,AN20-AN30,"n.a.")</x:f>
        <x:v>n.a.</x:v>
      </x:c>
      <x:c r="AO32" s="85" t="str">
        <x:f>IF(COUNT(AO20,AO30)=2,AO20-AO30,"n.a.")</x:f>
        <x:v>n.a.</x:v>
      </x:c>
      <x:c r="AP32" s="85" t="str">
        <x:f>IF(COUNT(AP20,AP30)=2,AP20-AP30,"n.a.")</x:f>
        <x:v>n.a.</x:v>
      </x:c>
      <x:c r="AQ32" s="85" t="str">
        <x:f>IF(COUNT(AQ20,AQ30)=2,AQ20-AQ30,"n.a.")</x:f>
        <x:v>n.a.</x:v>
      </x:c>
      <x:c r="AR32" s="85" t="str">
        <x:f>IF(COUNT(AR20,AR30)=2,AR20-AR30,"n.a.")</x:f>
        <x:v>n.a.</x:v>
      </x:c>
      <x:c r="AS32" s="85" t="str">
        <x:f>IF(COUNT(AS20,AS30)=2,AS20-AS30,"n.a.")</x:f>
        <x:v>n.a.</x:v>
      </x:c>
      <x:c r="AT32" s="85" t="str">
        <x:f>IF(COUNT(AT20,AT30)=2,AT20-AT30,"n.a.")</x:f>
        <x:v>n.a.</x:v>
      </x:c>
      <x:c r="AU32" s="85" t="str">
        <x:f>IF(COUNT(AU20,AU30)=2,AU20-AU30,"n.a.")</x:f>
        <x:v>n.a.</x:v>
      </x:c>
      <x:c r="AV32" s="85" t="str">
        <x:f>IF(COUNT(AV20,AV30)=2,AV20-AV30,"n.a.")</x:f>
        <x:v>n.a.</x:v>
      </x:c>
      <x:c r="AW32" s="85" t="str">
        <x:f>IF(COUNT(AW20,AW30)=2,AW20-AW30,"n.a.")</x:f>
        <x:v>n.a.</x:v>
      </x:c>
      <x:c r="AX32" s="85" t="str">
        <x:f>IF(COUNT(AX20,AX30)=2,AX20-AX30,"n.a.")</x:f>
        <x:v>n.a.</x:v>
      </x:c>
      <x:c r="AY32" s="85" t="str">
        <x:f>IF(COUNT(AY20,AY30)=2,AY20-AY30,"n.a.")</x:f>
        <x:v>n.a.</x:v>
      </x:c>
      <x:c r="AZ32" s="85" t="str">
        <x:f>IF(COUNT(AZ20,AZ30)=2,AZ20-AZ30,"n.a.")</x:f>
        <x:v>n.a.</x:v>
      </x:c>
      <x:c r="BA32" s="85" t="str">
        <x:f>IF(COUNT(BA20,BA30)=2,BA20-BA30,"n.a.")</x:f>
        <x:v>n.a.</x:v>
      </x:c>
      <x:c r="BB32" s="85" t="str">
        <x:f>IF(COUNT(BB20,BB30)=2,BB20-BB30,"n.a.")</x:f>
        <x:v>n.a.</x:v>
      </x:c>
      <x:c r="BC32" s="85" t="str">
        <x:f>IF(COUNT(BC20,BC30)=2,BC20-BC30,"n.a.")</x:f>
        <x:v>n.a.</x:v>
      </x:c>
      <x:c r="BD32" s="85" t="str">
        <x:f>IF(COUNT(BD20,BD30)=2,BD20-BD30,"n.a.")</x:f>
        <x:v>n.a.</x:v>
      </x:c>
      <x:c r="BE32" s="85" t="str">
        <x:f>IF(COUNT(BE20,BE30)=2,BE20-BE30,"n.a.")</x:f>
        <x:v>n.a.</x:v>
      </x:c>
      <x:c r="BF32" s="85" t="str">
        <x:f>IF(COUNT(BF20,BF30)=2,BF20-BF30,"n.a.")</x:f>
        <x:v>n.a.</x:v>
      </x:c>
      <x:c r="BG32" s="85" t="str">
        <x:f>IF(COUNT(BG20,BG30)=2,BG20-BG30,"n.a.")</x:f>
        <x:v>n.a.</x:v>
      </x:c>
      <x:c r="BH32" s="85" t="str">
        <x:f>IF(COUNT(BH20,BH30)=2,BH20-BH30,"n.a.")</x:f>
        <x:v>n.a.</x:v>
      </x:c>
      <x:c r="BI32" s="85" t="str">
        <x:f>IF(COUNT(BI20,BI30)=2,BI20-BI30,"n.a.")</x:f>
        <x:v>n.a.</x:v>
      </x:c>
      <x:c r="BJ32" s="85" t="str">
        <x:f>IF(COUNT(BJ20,BJ30)=2,BJ20-BJ30,"n.a.")</x:f>
        <x:v>n.a.</x:v>
      </x:c>
      <x:c r="BK32" s="85" t="str">
        <x:f>IF(COUNT(BK20,BK30)=2,BK20-BK30,"n.a.")</x:f>
        <x:v>n.a.</x:v>
      </x:c>
      <x:c r="BL32" s="85" t="str">
        <x:f>IF(COUNT(BL20,BL30)=2,BL20-BL30,"n.a.")</x:f>
        <x:v>n.a.</x:v>
      </x:c>
      <x:c r="BM32" s="85" t="str">
        <x:f>IF(COUNT(BM20,BM30)=2,BM20-BM30,"n.a.")</x:f>
        <x:v>n.a.</x:v>
      </x:c>
      <x:c r="BN32" s="85" t="str">
        <x:f>IF(COUNT(BN20,BN30)=2,BN20-BN30,"n.a.")</x:f>
        <x:v>n.a.</x:v>
      </x:c>
      <x:c r="BO32" s="85" t="str">
        <x:f>IF(COUNT(BO20,BO30)=2,BO20-BO30,"n.a.")</x:f>
        <x:v>n.a.</x:v>
      </x:c>
      <x:c r="BP32" s="85" t="str">
        <x:f>IF(COUNT(BP20,BP30)=2,BP20-BP30,"n.a.")</x:f>
        <x:v>n.a.</x:v>
      </x:c>
      <x:c r="BQ32" s="85" t="str">
        <x:f>IF(COUNT(BQ20,BQ30)=2,BQ20-BQ30,"n.a.")</x:f>
        <x:v>n.a.</x:v>
      </x:c>
    </x:row>
    <x:row r="33" ht="23" customHeight="1">
      <x:c r="A33" s="2"/>
      <x:c r="B33" s="2"/>
      <x:c r="C33" s="59" t="str">
        <x:v>EBITDA margin</x:v>
      </x:c>
      <x:c r="D33" s="73" t="str">
        <x:f>IF(AND(ISNUMBER(D32),D12&lt;&gt;0),D32/D12,"n.a.")</x:f>
        <x:v>n.a.</x:v>
      </x:c>
      <x:c r="E33" s="73" t="str">
        <x:f>IF(AND(ISNUMBER(E32),E12&lt;&gt;0),E32/E12,"n.a.")</x:f>
        <x:v>n.a.</x:v>
      </x:c>
      <x:c r="F33" s="73" t="str">
        <x:f>IF(AND(ISNUMBER(F32),F12&lt;&gt;0),F32/F12,"n.a.")</x:f>
        <x:v>n.a.</x:v>
      </x:c>
      <x:c r="G33" s="73" t="str">
        <x:f>IF(AND(ISNUMBER(G32),G12&lt;&gt;0),G32/G12,"n.a.")</x:f>
        <x:v>n.a.</x:v>
      </x:c>
      <x:c r="H33" s="73" t="str">
        <x:f>IF(AND(ISNUMBER(H32),H12&lt;&gt;0),H32/H12,"n.a.")</x:f>
        <x:v>n.a.</x:v>
      </x:c>
      <x:c r="I33" s="73" t="str">
        <x:f>IF(AND(ISNUMBER(I32),I12&lt;&gt;0),I32/I12,"n.a.")</x:f>
        <x:v>n.a.</x:v>
      </x:c>
      <x:c r="J33" s="73" t="str">
        <x:f>IF(AND(ISNUMBER(J32),J12&lt;&gt;0),J32/J12,"n.a.")</x:f>
        <x:v>n.a.</x:v>
      </x:c>
      <x:c r="K33" s="73" t="str">
        <x:f>IF(AND(ISNUMBER(K32),K12&lt;&gt;0),K32/K12,"n.a.")</x:f>
        <x:v>n.a.</x:v>
      </x:c>
      <x:c r="L33" s="73" t="str">
        <x:f>IF(AND(ISNUMBER(L32),L12&lt;&gt;0),L32/L12,"n.a.")</x:f>
        <x:v>n.a.</x:v>
      </x:c>
      <x:c r="M33" s="73" t="str">
        <x:f>IF(AND(ISNUMBER(M32),M12&lt;&gt;0),M32/M12,"n.a.")</x:f>
        <x:v>n.a.</x:v>
      </x:c>
      <x:c r="N33" s="73" t="str">
        <x:f>IF(AND(ISNUMBER(N32),N12&lt;&gt;0),N32/N12,"n.a.")</x:f>
        <x:v>n.a.</x:v>
      </x:c>
      <x:c r="O33" s="73" t="str">
        <x:f>IF(AND(ISNUMBER(O32),O12&lt;&gt;0),O32/O12,"n.a.")</x:f>
        <x:v>n.a.</x:v>
      </x:c>
      <x:c r="P33" s="73" t="str">
        <x:f>IF(AND(ISNUMBER(P32),P12&lt;&gt;0),P32/P12,"n.a.")</x:f>
        <x:v>n.a.</x:v>
      </x:c>
      <x:c r="Q33" s="73" t="str">
        <x:f>IF(AND(ISNUMBER(Q32),Q12&lt;&gt;0),Q32/Q12,"n.a.")</x:f>
        <x:v>n.a.</x:v>
      </x:c>
      <x:c r="R33" s="73" t="str">
        <x:f>IF(AND(ISNUMBER(R32),R12&lt;&gt;0),R32/R12,"n.a.")</x:f>
        <x:v>n.a.</x:v>
      </x:c>
      <x:c r="S33" s="73" t="str">
        <x:f>IF(AND(ISNUMBER(S32),S12&lt;&gt;0),S32/S12,"n.a.")</x:f>
        <x:v>n.a.</x:v>
      </x:c>
      <x:c r="T33" s="73" t="str">
        <x:f>IF(AND(ISNUMBER(T32),T12&lt;&gt;0),T32/T12,"n.a.")</x:f>
        <x:v>n.a.</x:v>
      </x:c>
      <x:c r="U33" s="73" t="str">
        <x:f>IF(AND(ISNUMBER(U32),U12&lt;&gt;0),U32/U12,"n.a.")</x:f>
        <x:v>n.a.</x:v>
      </x:c>
      <x:c r="V33" s="73" t="str">
        <x:f>IF(AND(ISNUMBER(V32),V12&lt;&gt;0),V32/V12,"n.a.")</x:f>
        <x:v>n.a.</x:v>
      </x:c>
      <x:c r="W33" s="73" t="str">
        <x:f>IF(AND(ISNUMBER(W32),W12&lt;&gt;0),W32/W12,"n.a.")</x:f>
        <x:v>n.a.</x:v>
      </x:c>
      <x:c r="X33" s="73" t="str">
        <x:f>IF(AND(ISNUMBER(X32),X12&lt;&gt;0),X32/X12,"n.a.")</x:f>
        <x:v>n.a.</x:v>
      </x:c>
      <x:c r="Y33" s="73" t="str">
        <x:f>IF(AND(ISNUMBER(Y32),Y12&lt;&gt;0),Y32/Y12,"n.a.")</x:f>
        <x:v>n.a.</x:v>
      </x:c>
      <x:c r="Z33" s="73" t="str">
        <x:f>IF(AND(ISNUMBER(Z32),Z12&lt;&gt;0),Z32/Z12,"n.a.")</x:f>
        <x:v>n.a.</x:v>
      </x:c>
      <x:c r="AA33" s="73" t="str">
        <x:f>IF(AND(ISNUMBER(AA32),AA12&lt;&gt;0),AA32/AA12,"n.a.")</x:f>
        <x:v>n.a.</x:v>
      </x:c>
      <x:c r="AB33" s="73" t="str">
        <x:f>IF(AND(ISNUMBER(AB32),AB12&lt;&gt;0),AB32/AB12,"n.a.")</x:f>
        <x:v>n.a.</x:v>
      </x:c>
      <x:c r="AC33" s="73" t="str">
        <x:f>IF(AND(ISNUMBER(AC32),AC12&lt;&gt;0),AC32/AC12,"n.a.")</x:f>
        <x:v>n.a.</x:v>
      </x:c>
      <x:c r="AD33" s="73" t="str">
        <x:f>IF(AND(ISNUMBER(AD32),AD12&lt;&gt;0),AD32/AD12,"n.a.")</x:f>
        <x:v>n.a.</x:v>
      </x:c>
      <x:c r="AE33" s="73" t="str">
        <x:f>IF(AND(ISNUMBER(AE32),AE12&lt;&gt;0),AE32/AE12,"n.a.")</x:f>
        <x:v>n.a.</x:v>
      </x:c>
      <x:c r="AF33" s="73" t="str">
        <x:f>IF(AND(ISNUMBER(AF32),AF12&lt;&gt;0),AF32/AF12,"n.a.")</x:f>
        <x:v>n.a.</x:v>
      </x:c>
      <x:c r="AG33" s="73" t="str">
        <x:f>IF(AND(ISNUMBER(AG32),AG12&lt;&gt;0),AG32/AG12,"n.a.")</x:f>
        <x:v>n.a.</x:v>
      </x:c>
      <x:c r="AH33" s="73" t="str">
        <x:f>IF(AND(ISNUMBER(AH32),AH12&lt;&gt;0),AH32/AH12,"n.a.")</x:f>
        <x:v>n.a.</x:v>
      </x:c>
      <x:c r="AI33" s="73" t="str">
        <x:f>IF(AND(ISNUMBER(AI32),AI12&lt;&gt;0),AI32/AI12,"n.a.")</x:f>
        <x:v>n.a.</x:v>
      </x:c>
      <x:c r="AJ33" s="73" t="str">
        <x:f>IF(AND(ISNUMBER(AJ32),AJ12&lt;&gt;0),AJ32/AJ12,"n.a.")</x:f>
        <x:v>n.a.</x:v>
      </x:c>
      <x:c r="AK33" s="73" t="str">
        <x:f>IF(AND(ISNUMBER(AK32),AK12&lt;&gt;0),AK32/AK12,"n.a.")</x:f>
        <x:v>n.a.</x:v>
      </x:c>
      <x:c r="AL33" s="73" t="str">
        <x:f>IF(AND(ISNUMBER(AL32),AL12&lt;&gt;0),AL32/AL12,"n.a.")</x:f>
        <x:v>n.a.</x:v>
      </x:c>
      <x:c r="AM33" s="73" t="str">
        <x:f>IF(AND(ISNUMBER(AM32),AM12&lt;&gt;0),AM32/AM12,"n.a.")</x:f>
        <x:v>n.a.</x:v>
      </x:c>
      <x:c r="AN33" s="73" t="str">
        <x:f>IF(AND(ISNUMBER(AN32),AN12&lt;&gt;0),AN32/AN12,"n.a.")</x:f>
        <x:v>n.a.</x:v>
      </x:c>
      <x:c r="AO33" s="73" t="str">
        <x:f>IF(AND(ISNUMBER(AO32),AO12&lt;&gt;0),AO32/AO12,"n.a.")</x:f>
        <x:v>n.a.</x:v>
      </x:c>
      <x:c r="AP33" s="73" t="str">
        <x:f>IF(AND(ISNUMBER(AP32),AP12&lt;&gt;0),AP32/AP12,"n.a.")</x:f>
        <x:v>n.a.</x:v>
      </x:c>
      <x:c r="AQ33" s="73" t="str">
        <x:f>IF(AND(ISNUMBER(AQ32),AQ12&lt;&gt;0),AQ32/AQ12,"n.a.")</x:f>
        <x:v>n.a.</x:v>
      </x:c>
      <x:c r="AR33" s="73" t="str">
        <x:f>IF(AND(ISNUMBER(AR32),AR12&lt;&gt;0),AR32/AR12,"n.a.")</x:f>
        <x:v>n.a.</x:v>
      </x:c>
      <x:c r="AS33" s="73" t="str">
        <x:f>IF(AND(ISNUMBER(AS32),AS12&lt;&gt;0),AS32/AS12,"n.a.")</x:f>
        <x:v>n.a.</x:v>
      </x:c>
      <x:c r="AT33" s="73" t="str">
        <x:f>IF(AND(ISNUMBER(AT32),AT12&lt;&gt;0),AT32/AT12,"n.a.")</x:f>
        <x:v>n.a.</x:v>
      </x:c>
      <x:c r="AU33" s="73" t="str">
        <x:f>IF(AND(ISNUMBER(AU32),AU12&lt;&gt;0),AU32/AU12,"n.a.")</x:f>
        <x:v>n.a.</x:v>
      </x:c>
      <x:c r="AV33" s="73" t="str">
        <x:f>IF(AND(ISNUMBER(AV32),AV12&lt;&gt;0),AV32/AV12,"n.a.")</x:f>
        <x:v>n.a.</x:v>
      </x:c>
      <x:c r="AW33" s="73" t="str">
        <x:f>IF(AND(ISNUMBER(AW32),AW12&lt;&gt;0),AW32/AW12,"n.a.")</x:f>
        <x:v>n.a.</x:v>
      </x:c>
      <x:c r="AX33" s="73" t="str">
        <x:f>IF(AND(ISNUMBER(AX32),AX12&lt;&gt;0),AX32/AX12,"n.a.")</x:f>
        <x:v>n.a.</x:v>
      </x:c>
      <x:c r="AY33" s="73" t="str">
        <x:f>IF(AND(ISNUMBER(AY32),AY12&lt;&gt;0),AY32/AY12,"n.a.")</x:f>
        <x:v>n.a.</x:v>
      </x:c>
      <x:c r="AZ33" s="73" t="str">
        <x:f>IF(AND(ISNUMBER(AZ32),AZ12&lt;&gt;0),AZ32/AZ12,"n.a.")</x:f>
        <x:v>n.a.</x:v>
      </x:c>
      <x:c r="BA33" s="73" t="str">
        <x:f>IF(AND(ISNUMBER(BA32),BA12&lt;&gt;0),BA32/BA12,"n.a.")</x:f>
        <x:v>n.a.</x:v>
      </x:c>
      <x:c r="BB33" s="73" t="str">
        <x:f>IF(AND(ISNUMBER(BB32),BB12&lt;&gt;0),BB32/BB12,"n.a.")</x:f>
        <x:v>n.a.</x:v>
      </x:c>
      <x:c r="BC33" s="73" t="str">
        <x:f>IF(AND(ISNUMBER(BC32),BC12&lt;&gt;0),BC32/BC12,"n.a.")</x:f>
        <x:v>n.a.</x:v>
      </x:c>
      <x:c r="BD33" s="73" t="str">
        <x:f>IF(AND(ISNUMBER(BD32),BD12&lt;&gt;0),BD32/BD12,"n.a.")</x:f>
        <x:v>n.a.</x:v>
      </x:c>
      <x:c r="BE33" s="73" t="str">
        <x:f>IF(AND(ISNUMBER(BE32),BE12&lt;&gt;0),BE32/BE12,"n.a.")</x:f>
        <x:v>n.a.</x:v>
      </x:c>
      <x:c r="BF33" s="73" t="str">
        <x:f>IF(AND(ISNUMBER(BF32),BF12&lt;&gt;0),BF32/BF12,"n.a.")</x:f>
        <x:v>n.a.</x:v>
      </x:c>
      <x:c r="BG33" s="73" t="str">
        <x:f>IF(AND(ISNUMBER(BG32),BG12&lt;&gt;0),BG32/BG12,"n.a.")</x:f>
        <x:v>n.a.</x:v>
      </x:c>
      <x:c r="BH33" s="73" t="str">
        <x:f>IF(AND(ISNUMBER(BH32),BH12&lt;&gt;0),BH32/BH12,"n.a.")</x:f>
        <x:v>n.a.</x:v>
      </x:c>
      <x:c r="BI33" s="73" t="str">
        <x:f>IF(AND(ISNUMBER(BI32),BI12&lt;&gt;0),BI32/BI12,"n.a.")</x:f>
        <x:v>n.a.</x:v>
      </x:c>
      <x:c r="BJ33" s="73" t="str">
        <x:f>IF(AND(ISNUMBER(BJ32),BJ12&lt;&gt;0),BJ32/BJ12,"n.a.")</x:f>
        <x:v>n.a.</x:v>
      </x:c>
      <x:c r="BK33" s="73" t="str">
        <x:f>IF(AND(ISNUMBER(BK32),BK12&lt;&gt;0),BK32/BK12,"n.a.")</x:f>
        <x:v>n.a.</x:v>
      </x:c>
      <x:c r="BL33" s="73" t="str">
        <x:f>IF(AND(ISNUMBER(BL32),BL12&lt;&gt;0),BL32/BL12,"n.a.")</x:f>
        <x:v>n.a.</x:v>
      </x:c>
      <x:c r="BM33" s="73" t="str">
        <x:f>IF(AND(ISNUMBER(BM32),BM12&lt;&gt;0),BM32/BM12,"n.a.")</x:f>
        <x:v>n.a.</x:v>
      </x:c>
      <x:c r="BN33" s="73" t="str">
        <x:f>IF(AND(ISNUMBER(BN32),BN12&lt;&gt;0),BN32/BN12,"n.a.")</x:f>
        <x:v>n.a.</x:v>
      </x:c>
      <x:c r="BO33" s="73" t="str">
        <x:f>IF(AND(ISNUMBER(BO32),BO12&lt;&gt;0),BO32/BO12,"n.a.")</x:f>
        <x:v>n.a.</x:v>
      </x:c>
      <x:c r="BP33" s="73" t="str">
        <x:f>IF(AND(ISNUMBER(BP32),BP12&lt;&gt;0),BP32/BP12,"n.a.")</x:f>
        <x:v>n.a.</x:v>
      </x:c>
      <x:c r="BQ33" s="73" t="str">
        <x:f>IF(AND(ISNUMBER(BQ32),BQ12&lt;&gt;0),BQ32/BQ12,"n.a.")</x:f>
        <x:v>n.a.</x:v>
      </x:c>
    </x:row>
    <x:row r="34" ht="23" customHeight="1">
      <x:c r="A34" s="2"/>
      <x:c r="B34" s="2"/>
      <x:c r="C34" s="2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4"/>
      <x:c r="AP34" s="4"/>
      <x:c r="AQ34" s="4"/>
      <x:c r="AR34" s="4"/>
      <x:c r="AS34" s="4"/>
      <x:c r="AT34" s="4"/>
      <x:c r="AU34" s="4"/>
      <x:c r="AV34" s="4"/>
      <x:c r="AW34" s="4"/>
      <x:c r="AX34" s="4"/>
      <x:c r="AY34" s="4"/>
      <x:c r="AZ34" s="4"/>
      <x:c r="BA34" s="4"/>
      <x:c r="BB34" s="4"/>
      <x:c r="BC34" s="4"/>
      <x:c r="BD34" s="4"/>
      <x:c r="BE34" s="4"/>
      <x:c r="BF34" s="4"/>
      <x:c r="BG34" s="4"/>
      <x:c r="BH34" s="4"/>
      <x:c r="BI34" s="4"/>
      <x:c r="BJ34" s="4"/>
      <x:c r="BK34" s="4"/>
      <x:c r="BL34" s="4"/>
      <x:c r="BM34" s="4"/>
      <x:c r="BN34" s="4"/>
      <x:c r="BO34" s="4"/>
      <x:c r="BP34" s="4"/>
      <x:c r="BQ34" s="4"/>
    </x:row>
    <x:row r="35" ht="25" customHeight="1">
      <x:c r="A35" s="2"/>
      <x:c r="B35" s="2"/>
      <x:c r="C35" s="84" t="str">
        <x:v>Cumulative EBITDA (not cash)</x:v>
      </x:c>
      <x:c r="D35" s="85" t="str">
        <x:f>U35</x:f>
        <x:v>n.a.</x:v>
      </x:c>
      <x:c r="E35" s="85" t="str">
        <x:f>AG35</x:f>
        <x:v>n.a.</x:v>
      </x:c>
      <x:c r="F35" s="85" t="str">
        <x:f>AS35</x:f>
        <x:v>n.a.</x:v>
      </x:c>
      <x:c r="G35" s="85" t="str">
        <x:f>BE35</x:f>
        <x:v>n.a.</x:v>
      </x:c>
      <x:c r="H35" s="85" t="str">
        <x:f>BQ35</x:f>
        <x:v>n.a.</x:v>
      </x:c>
      <x:c r="I35" s="85" t="str">
        <x:f>I32</x:f>
        <x:v>n.a.</x:v>
      </x:c>
      <x:c r="J35" s="85" t="str">
        <x:f>IF(COUNT(I35,J32)=2,SUM(I35,J32),"n.a.")</x:f>
        <x:v>n.a.</x:v>
      </x:c>
      <x:c r="K35" s="85" t="str">
        <x:f>IF(COUNT(J35,K32)=2,SUM(J35,K32),"n.a.")</x:f>
        <x:v>n.a.</x:v>
      </x:c>
      <x:c r="L35" s="85" t="str">
        <x:f>IF(COUNT(K35,L32)=2,SUM(K35,L32),"n.a.")</x:f>
        <x:v>n.a.</x:v>
      </x:c>
      <x:c r="M35" s="85" t="str">
        <x:f>IF(COUNT(L35,M32)=2,SUM(L35,M32),"n.a.")</x:f>
        <x:v>n.a.</x:v>
      </x:c>
      <x:c r="N35" s="85" t="str">
        <x:f>IF(COUNT(M35,N32)=2,SUM(M35,N32),"n.a.")</x:f>
        <x:v>n.a.</x:v>
      </x:c>
      <x:c r="O35" s="85" t="str">
        <x:f>IF(COUNT(N35,O32)=2,SUM(N35,O32),"n.a.")</x:f>
        <x:v>n.a.</x:v>
      </x:c>
      <x:c r="P35" s="85" t="str">
        <x:f>IF(COUNT(O35,P32)=2,SUM(O35,P32),"n.a.")</x:f>
        <x:v>n.a.</x:v>
      </x:c>
      <x:c r="Q35" s="85" t="str">
        <x:f>IF(COUNT(P35,Q32)=2,SUM(P35,Q32),"n.a.")</x:f>
        <x:v>n.a.</x:v>
      </x:c>
      <x:c r="R35" s="85" t="str">
        <x:f>IF(COUNT(Q35,R32)=2,SUM(Q35,R32),"n.a.")</x:f>
        <x:v>n.a.</x:v>
      </x:c>
      <x:c r="S35" s="85" t="str">
        <x:f>IF(COUNT(R35,S32)=2,SUM(R35,S32),"n.a.")</x:f>
        <x:v>n.a.</x:v>
      </x:c>
      <x:c r="T35" s="85" t="str">
        <x:f>IF(COUNT(S35,T32)=2,SUM(S35,T32),"n.a.")</x:f>
        <x:v>n.a.</x:v>
      </x:c>
      <x:c r="U35" s="85" t="str">
        <x:f>IF(COUNT(T35,U32)=2,SUM(T35,U32),"n.a.")</x:f>
        <x:v>n.a.</x:v>
      </x:c>
      <x:c r="V35" s="85" t="str">
        <x:f>IF(COUNT(U35,V32)=2,SUM(U35,V32),"n.a.")</x:f>
        <x:v>n.a.</x:v>
      </x:c>
      <x:c r="W35" s="85" t="str">
        <x:f>IF(COUNT(V35,W32)=2,SUM(V35,W32),"n.a.")</x:f>
        <x:v>n.a.</x:v>
      </x:c>
      <x:c r="X35" s="85" t="str">
        <x:f>IF(COUNT(W35,X32)=2,SUM(W35,X32),"n.a.")</x:f>
        <x:v>n.a.</x:v>
      </x:c>
      <x:c r="Y35" s="85" t="str">
        <x:f>IF(COUNT(X35,Y32)=2,SUM(X35,Y32),"n.a.")</x:f>
        <x:v>n.a.</x:v>
      </x:c>
      <x:c r="Z35" s="85" t="str">
        <x:f>IF(COUNT(Y35,Z32)=2,SUM(Y35,Z32),"n.a.")</x:f>
        <x:v>n.a.</x:v>
      </x:c>
      <x:c r="AA35" s="85" t="str">
        <x:f>IF(COUNT(Z35,AA32)=2,SUM(Z35,AA32),"n.a.")</x:f>
        <x:v>n.a.</x:v>
      </x:c>
      <x:c r="AB35" s="85" t="str">
        <x:f>IF(COUNT(AA35,AB32)=2,SUM(AA35,AB32),"n.a.")</x:f>
        <x:v>n.a.</x:v>
      </x:c>
      <x:c r="AC35" s="85" t="str">
        <x:f>IF(COUNT(AB35,AC32)=2,SUM(AB35,AC32),"n.a.")</x:f>
        <x:v>n.a.</x:v>
      </x:c>
      <x:c r="AD35" s="85" t="str">
        <x:f>IF(COUNT(AC35,AD32)=2,SUM(AC35,AD32),"n.a.")</x:f>
        <x:v>n.a.</x:v>
      </x:c>
      <x:c r="AE35" s="85" t="str">
        <x:f>IF(COUNT(AD35,AE32)=2,SUM(AD35,AE32),"n.a.")</x:f>
        <x:v>n.a.</x:v>
      </x:c>
      <x:c r="AF35" s="85" t="str">
        <x:f>IF(COUNT(AE35,AF32)=2,SUM(AE35,AF32),"n.a.")</x:f>
        <x:v>n.a.</x:v>
      </x:c>
      <x:c r="AG35" s="85" t="str">
        <x:f>IF(COUNT(AF35,AG32)=2,SUM(AF35,AG32),"n.a.")</x:f>
        <x:v>n.a.</x:v>
      </x:c>
      <x:c r="AH35" s="85" t="str">
        <x:f>IF(COUNT(AG35,AH32)=2,SUM(AG35,AH32),"n.a.")</x:f>
        <x:v>n.a.</x:v>
      </x:c>
      <x:c r="AI35" s="85" t="str">
        <x:f>IF(COUNT(AH35,AI32)=2,SUM(AH35,AI32),"n.a.")</x:f>
        <x:v>n.a.</x:v>
      </x:c>
      <x:c r="AJ35" s="85" t="str">
        <x:f>IF(COUNT(AI35,AJ32)=2,SUM(AI35,AJ32),"n.a.")</x:f>
        <x:v>n.a.</x:v>
      </x:c>
      <x:c r="AK35" s="85" t="str">
        <x:f>IF(COUNT(AJ35,AK32)=2,SUM(AJ35,AK32),"n.a.")</x:f>
        <x:v>n.a.</x:v>
      </x:c>
      <x:c r="AL35" s="85" t="str">
        <x:f>IF(COUNT(AK35,AL32)=2,SUM(AK35,AL32),"n.a.")</x:f>
        <x:v>n.a.</x:v>
      </x:c>
      <x:c r="AM35" s="85" t="str">
        <x:f>IF(COUNT(AL35,AM32)=2,SUM(AL35,AM32),"n.a.")</x:f>
        <x:v>n.a.</x:v>
      </x:c>
      <x:c r="AN35" s="85" t="str">
        <x:f>IF(COUNT(AM35,AN32)=2,SUM(AM35,AN32),"n.a.")</x:f>
        <x:v>n.a.</x:v>
      </x:c>
      <x:c r="AO35" s="85" t="str">
        <x:f>IF(COUNT(AN35,AO32)=2,SUM(AN35,AO32),"n.a.")</x:f>
        <x:v>n.a.</x:v>
      </x:c>
      <x:c r="AP35" s="85" t="str">
        <x:f>IF(COUNT(AO35,AP32)=2,SUM(AO35,AP32),"n.a.")</x:f>
        <x:v>n.a.</x:v>
      </x:c>
      <x:c r="AQ35" s="85" t="str">
        <x:f>IF(COUNT(AP35,AQ32)=2,SUM(AP35,AQ32),"n.a.")</x:f>
        <x:v>n.a.</x:v>
      </x:c>
      <x:c r="AR35" s="85" t="str">
        <x:f>IF(COUNT(AQ35,AR32)=2,SUM(AQ35,AR32),"n.a.")</x:f>
        <x:v>n.a.</x:v>
      </x:c>
      <x:c r="AS35" s="85" t="str">
        <x:f>IF(COUNT(AR35,AS32)=2,SUM(AR35,AS32),"n.a.")</x:f>
        <x:v>n.a.</x:v>
      </x:c>
      <x:c r="AT35" s="85" t="str">
        <x:f>IF(COUNT(AS35,AT32)=2,SUM(AS35,AT32),"n.a.")</x:f>
        <x:v>n.a.</x:v>
      </x:c>
      <x:c r="AU35" s="85" t="str">
        <x:f>IF(COUNT(AT35,AU32)=2,SUM(AT35,AU32),"n.a.")</x:f>
        <x:v>n.a.</x:v>
      </x:c>
      <x:c r="AV35" s="85" t="str">
        <x:f>IF(COUNT(AU35,AV32)=2,SUM(AU35,AV32),"n.a.")</x:f>
        <x:v>n.a.</x:v>
      </x:c>
      <x:c r="AW35" s="85" t="str">
        <x:f>IF(COUNT(AV35,AW32)=2,SUM(AV35,AW32),"n.a.")</x:f>
        <x:v>n.a.</x:v>
      </x:c>
      <x:c r="AX35" s="85" t="str">
        <x:f>IF(COUNT(AW35,AX32)=2,SUM(AW35,AX32),"n.a.")</x:f>
        <x:v>n.a.</x:v>
      </x:c>
      <x:c r="AY35" s="85" t="str">
        <x:f>IF(COUNT(AX35,AY32)=2,SUM(AX35,AY32),"n.a.")</x:f>
        <x:v>n.a.</x:v>
      </x:c>
      <x:c r="AZ35" s="85" t="str">
        <x:f>IF(COUNT(AY35,AZ32)=2,SUM(AY35,AZ32),"n.a.")</x:f>
        <x:v>n.a.</x:v>
      </x:c>
      <x:c r="BA35" s="85" t="str">
        <x:f>IF(COUNT(AZ35,BA32)=2,SUM(AZ35,BA32),"n.a.")</x:f>
        <x:v>n.a.</x:v>
      </x:c>
      <x:c r="BB35" s="85" t="str">
        <x:f>IF(COUNT(BA35,BB32)=2,SUM(BA35,BB32),"n.a.")</x:f>
        <x:v>n.a.</x:v>
      </x:c>
      <x:c r="BC35" s="85" t="str">
        <x:f>IF(COUNT(BB35,BC32)=2,SUM(BB35,BC32),"n.a.")</x:f>
        <x:v>n.a.</x:v>
      </x:c>
      <x:c r="BD35" s="85" t="str">
        <x:f>IF(COUNT(BC35,BD32)=2,SUM(BC35,BD32),"n.a.")</x:f>
        <x:v>n.a.</x:v>
      </x:c>
      <x:c r="BE35" s="85" t="str">
        <x:f>IF(COUNT(BD35,BE32)=2,SUM(BD35,BE32),"n.a.")</x:f>
        <x:v>n.a.</x:v>
      </x:c>
      <x:c r="BF35" s="85" t="str">
        <x:f>IF(COUNT(BE35,BF32)=2,SUM(BE35,BF32),"n.a.")</x:f>
        <x:v>n.a.</x:v>
      </x:c>
      <x:c r="BG35" s="85" t="str">
        <x:f>IF(COUNT(BF35,BG32)=2,SUM(BF35,BG32),"n.a.")</x:f>
        <x:v>n.a.</x:v>
      </x:c>
      <x:c r="BH35" s="85" t="str">
        <x:f>IF(COUNT(BG35,BH32)=2,SUM(BG35,BH32),"n.a.")</x:f>
        <x:v>n.a.</x:v>
      </x:c>
      <x:c r="BI35" s="85" t="str">
        <x:f>IF(COUNT(BH35,BI32)=2,SUM(BH35,BI32),"n.a.")</x:f>
        <x:v>n.a.</x:v>
      </x:c>
      <x:c r="BJ35" s="85" t="str">
        <x:f>IF(COUNT(BI35,BJ32)=2,SUM(BI35,BJ32),"n.a.")</x:f>
        <x:v>n.a.</x:v>
      </x:c>
      <x:c r="BK35" s="85" t="str">
        <x:f>IF(COUNT(BJ35,BK32)=2,SUM(BJ35,BK32),"n.a.")</x:f>
        <x:v>n.a.</x:v>
      </x:c>
      <x:c r="BL35" s="85" t="str">
        <x:f>IF(COUNT(BK35,BL32)=2,SUM(BK35,BL32),"n.a.")</x:f>
        <x:v>n.a.</x:v>
      </x:c>
      <x:c r="BM35" s="85" t="str">
        <x:f>IF(COUNT(BL35,BM32)=2,SUM(BL35,BM32),"n.a.")</x:f>
        <x:v>n.a.</x:v>
      </x:c>
      <x:c r="BN35" s="85" t="str">
        <x:f>IF(COUNT(BM35,BN32)=2,SUM(BM35,BN32),"n.a.")</x:f>
        <x:v>n.a.</x:v>
      </x:c>
      <x:c r="BO35" s="85" t="str">
        <x:f>IF(COUNT(BN35,BO32)=2,SUM(BN35,BO32),"n.a.")</x:f>
        <x:v>n.a.</x:v>
      </x:c>
      <x:c r="BP35" s="85" t="str">
        <x:f>IF(COUNT(BO35,BP32)=2,SUM(BO35,BP32),"n.a.")</x:f>
        <x:v>n.a.</x:v>
      </x:c>
      <x:c r="BQ35" s="85" t="str">
        <x:f>IF(COUNT(BP35,BQ32)=2,SUM(BP35,BQ32),"n.a.")</x:f>
        <x:v>n.a.</x:v>
      </x:c>
    </x:row>
    <x:row r="36" ht="23" customHeight="1">
      <x:c r="A36" s="2"/>
      <x:c r="B36" s="2"/>
      <x:c r="C36" s="2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  <x:c r="AP36" s="4"/>
      <x:c r="AQ36" s="4"/>
      <x:c r="AR36" s="4"/>
      <x:c r="AS36" s="4"/>
      <x:c r="AT36" s="4"/>
      <x:c r="AU36" s="4"/>
      <x:c r="AV36" s="4"/>
      <x:c r="AW36" s="4"/>
      <x:c r="AX36" s="4"/>
      <x:c r="AY36" s="4"/>
      <x:c r="AZ36" s="4"/>
      <x:c r="BA36" s="4"/>
      <x:c r="BB36" s="4"/>
      <x:c r="BC36" s="4"/>
      <x:c r="BD36" s="4"/>
      <x:c r="BE36" s="4"/>
      <x:c r="BF36" s="4"/>
      <x:c r="BG36" s="4"/>
      <x:c r="BH36" s="4"/>
      <x:c r="BI36" s="4"/>
      <x:c r="BJ36" s="4"/>
      <x:c r="BK36" s="4"/>
      <x:c r="BL36" s="4"/>
      <x:c r="BM36" s="4"/>
      <x:c r="BN36" s="4"/>
      <x:c r="BO36" s="4"/>
      <x:c r="BP36" s="4"/>
      <x:c r="BQ36" s="4"/>
    </x:row>
    <x:row r="37" ht="23" customHeight="1">
      <x:c r="A37" s="2"/>
      <x:c r="B37" s="2"/>
      <x:c r="C37" s="2" t="str">
        <x:v>Blended required retail CAC</x:v>
      </x:c>
      <x:c r="D37" s="79" t="str">
        <x:f>IF(AND(COUNT(D24:D25,D27,D38)=4,D38&gt;0),SUM(D24:D25,D27)/D38,"n.a.")</x:f>
        <x:v>n.a.</x:v>
      </x:c>
      <x:c r="E37" s="79" t="str">
        <x:f>IF(AND(COUNT(E24:E25,E27,E38)=4,E38&gt;0),SUM(E24:E25,E27)/E38,"n.a.")</x:f>
        <x:v>n.a.</x:v>
      </x:c>
      <x:c r="F37" s="79" t="str">
        <x:f>IF(AND(COUNT(F24:F25,F27,F38)=4,F38&gt;0),SUM(F24:F25,F27)/F38,"n.a.")</x:f>
        <x:v>n.a.</x:v>
      </x:c>
      <x:c r="G37" s="79" t="str">
        <x:f>IF(AND(COUNT(G24:G25,G27,G38)=4,G38&gt;0),SUM(G24:G25,G27)/G38,"n.a.")</x:f>
        <x:v>n.a.</x:v>
      </x:c>
      <x:c r="H37" s="79" t="str">
        <x:f>IF(AND(COUNT(H24:H25,H27,H38)=4,H38&gt;0),SUM(H24:H25,H27)/H38,"n.a.")</x:f>
        <x:v>n.a.</x:v>
      </x:c>
      <x:c r="I37" s="79" t="str">
        <x:f>IF(AND(COUNT(I24:I25,I27,I38)=4,I38&gt;0),SUM(I24:I25,I27)/I38,"n.a.")</x:f>
        <x:v>n.a.</x:v>
      </x:c>
      <x:c r="J37" s="79" t="str">
        <x:f>IF(AND(COUNT(J24:J25,J27,J38)=4,J38&gt;0),SUM(J24:J25,J27)/J38,"n.a.")</x:f>
        <x:v>n.a.</x:v>
      </x:c>
      <x:c r="K37" s="79" t="str">
        <x:f>IF(AND(COUNT(K24:K25,K27,K38)=4,K38&gt;0),SUM(K24:K25,K27)/K38,"n.a.")</x:f>
        <x:v>n.a.</x:v>
      </x:c>
      <x:c r="L37" s="79" t="str">
        <x:f>IF(AND(COUNT(L24:L25,L27,L38)=4,L38&gt;0),SUM(L24:L25,L27)/L38,"n.a.")</x:f>
        <x:v>n.a.</x:v>
      </x:c>
      <x:c r="M37" s="79" t="str">
        <x:f>IF(AND(COUNT(M24:M25,M27,M38)=4,M38&gt;0),SUM(M24:M25,M27)/M38,"n.a.")</x:f>
        <x:v>n.a.</x:v>
      </x:c>
      <x:c r="N37" s="79" t="str">
        <x:f>IF(AND(COUNT(N24:N25,N27,N38)=4,N38&gt;0),SUM(N24:N25,N27)/N38,"n.a.")</x:f>
        <x:v>n.a.</x:v>
      </x:c>
      <x:c r="O37" s="79" t="str">
        <x:f>IF(AND(COUNT(O24:O25,O27,O38)=4,O38&gt;0),SUM(O24:O25,O27)/O38,"n.a.")</x:f>
        <x:v>n.a.</x:v>
      </x:c>
      <x:c r="P37" s="79" t="str">
        <x:f>IF(AND(COUNT(P24:P25,P27,P38)=4,P38&gt;0),SUM(P24:P25,P27)/P38,"n.a.")</x:f>
        <x:v>n.a.</x:v>
      </x:c>
      <x:c r="Q37" s="79" t="str">
        <x:f>IF(AND(COUNT(Q24:Q25,Q27,Q38)=4,Q38&gt;0),SUM(Q24:Q25,Q27)/Q38,"n.a.")</x:f>
        <x:v>n.a.</x:v>
      </x:c>
      <x:c r="R37" s="79" t="str">
        <x:f>IF(AND(COUNT(R24:R25,R27,R38)=4,R38&gt;0),SUM(R24:R25,R27)/R38,"n.a.")</x:f>
        <x:v>n.a.</x:v>
      </x:c>
      <x:c r="S37" s="79" t="str">
        <x:f>IF(AND(COUNT(S24:S25,S27,S38)=4,S38&gt;0),SUM(S24:S25,S27)/S38,"n.a.")</x:f>
        <x:v>n.a.</x:v>
      </x:c>
      <x:c r="T37" s="79" t="str">
        <x:f>IF(AND(COUNT(T24:T25,T27,T38)=4,T38&gt;0),SUM(T24:T25,T27)/T38,"n.a.")</x:f>
        <x:v>n.a.</x:v>
      </x:c>
      <x:c r="U37" s="79" t="str">
        <x:f>IF(AND(COUNT(U24:U25,U27,U38)=4,U38&gt;0),SUM(U24:U25,U27)/U38,"n.a.")</x:f>
        <x:v>n.a.</x:v>
      </x:c>
      <x:c r="V37" s="79" t="str">
        <x:f>IF(AND(COUNT(V24:V25,V27,V38)=4,V38&gt;0),SUM(V24:V25,V27)/V38,"n.a.")</x:f>
        <x:v>n.a.</x:v>
      </x:c>
      <x:c r="W37" s="79" t="str">
        <x:f>IF(AND(COUNT(W24:W25,W27,W38)=4,W38&gt;0),SUM(W24:W25,W27)/W38,"n.a.")</x:f>
        <x:v>n.a.</x:v>
      </x:c>
      <x:c r="X37" s="79" t="str">
        <x:f>IF(AND(COUNT(X24:X25,X27,X38)=4,X38&gt;0),SUM(X24:X25,X27)/X38,"n.a.")</x:f>
        <x:v>n.a.</x:v>
      </x:c>
      <x:c r="Y37" s="79" t="str">
        <x:f>IF(AND(COUNT(Y24:Y25,Y27,Y38)=4,Y38&gt;0),SUM(Y24:Y25,Y27)/Y38,"n.a.")</x:f>
        <x:v>n.a.</x:v>
      </x:c>
      <x:c r="Z37" s="79" t="str">
        <x:f>IF(AND(COUNT(Z24:Z25,Z27,Z38)=4,Z38&gt;0),SUM(Z24:Z25,Z27)/Z38,"n.a.")</x:f>
        <x:v>n.a.</x:v>
      </x:c>
      <x:c r="AA37" s="79" t="str">
        <x:f>IF(AND(COUNT(AA24:AA25,AA27,AA38)=4,AA38&gt;0),SUM(AA24:AA25,AA27)/AA38,"n.a.")</x:f>
        <x:v>n.a.</x:v>
      </x:c>
      <x:c r="AB37" s="79" t="str">
        <x:f>IF(AND(COUNT(AB24:AB25,AB27,AB38)=4,AB38&gt;0),SUM(AB24:AB25,AB27)/AB38,"n.a.")</x:f>
        <x:v>n.a.</x:v>
      </x:c>
      <x:c r="AC37" s="79" t="str">
        <x:f>IF(AND(COUNT(AC24:AC25,AC27,AC38)=4,AC38&gt;0),SUM(AC24:AC25,AC27)/AC38,"n.a.")</x:f>
        <x:v>n.a.</x:v>
      </x:c>
      <x:c r="AD37" s="79" t="str">
        <x:f>IF(AND(COUNT(AD24:AD25,AD27,AD38)=4,AD38&gt;0),SUM(AD24:AD25,AD27)/AD38,"n.a.")</x:f>
        <x:v>n.a.</x:v>
      </x:c>
      <x:c r="AE37" s="79" t="str">
        <x:f>IF(AND(COUNT(AE24:AE25,AE27,AE38)=4,AE38&gt;0),SUM(AE24:AE25,AE27)/AE38,"n.a.")</x:f>
        <x:v>n.a.</x:v>
      </x:c>
      <x:c r="AF37" s="79" t="str">
        <x:f>IF(AND(COUNT(AF24:AF25,AF27,AF38)=4,AF38&gt;0),SUM(AF24:AF25,AF27)/AF38,"n.a.")</x:f>
        <x:v>n.a.</x:v>
      </x:c>
      <x:c r="AG37" s="79" t="str">
        <x:f>IF(AND(COUNT(AG24:AG25,AG27,AG38)=4,AG38&gt;0),SUM(AG24:AG25,AG27)/AG38,"n.a.")</x:f>
        <x:v>n.a.</x:v>
      </x:c>
      <x:c r="AH37" s="79" t="str">
        <x:f>IF(AND(COUNT(AH24:AH25,AH27,AH38)=4,AH38&gt;0),SUM(AH24:AH25,AH27)/AH38,"n.a.")</x:f>
        <x:v>n.a.</x:v>
      </x:c>
      <x:c r="AI37" s="79" t="str">
        <x:f>IF(AND(COUNT(AI24:AI25,AI27,AI38)=4,AI38&gt;0),SUM(AI24:AI25,AI27)/AI38,"n.a.")</x:f>
        <x:v>n.a.</x:v>
      </x:c>
      <x:c r="AJ37" s="79" t="str">
        <x:f>IF(AND(COUNT(AJ24:AJ25,AJ27,AJ38)=4,AJ38&gt;0),SUM(AJ24:AJ25,AJ27)/AJ38,"n.a.")</x:f>
        <x:v>n.a.</x:v>
      </x:c>
      <x:c r="AK37" s="79" t="str">
        <x:f>IF(AND(COUNT(AK24:AK25,AK27,AK38)=4,AK38&gt;0),SUM(AK24:AK25,AK27)/AK38,"n.a.")</x:f>
        <x:v>n.a.</x:v>
      </x:c>
      <x:c r="AL37" s="79" t="str">
        <x:f>IF(AND(COUNT(AL24:AL25,AL27,AL38)=4,AL38&gt;0),SUM(AL24:AL25,AL27)/AL38,"n.a.")</x:f>
        <x:v>n.a.</x:v>
      </x:c>
      <x:c r="AM37" s="79" t="str">
        <x:f>IF(AND(COUNT(AM24:AM25,AM27,AM38)=4,AM38&gt;0),SUM(AM24:AM25,AM27)/AM38,"n.a.")</x:f>
        <x:v>n.a.</x:v>
      </x:c>
      <x:c r="AN37" s="79" t="str">
        <x:f>IF(AND(COUNT(AN24:AN25,AN27,AN38)=4,AN38&gt;0),SUM(AN24:AN25,AN27)/AN38,"n.a.")</x:f>
        <x:v>n.a.</x:v>
      </x:c>
      <x:c r="AO37" s="79" t="str">
        <x:f>IF(AND(COUNT(AO24:AO25,AO27,AO38)=4,AO38&gt;0),SUM(AO24:AO25,AO27)/AO38,"n.a.")</x:f>
        <x:v>n.a.</x:v>
      </x:c>
      <x:c r="AP37" s="79" t="str">
        <x:f>IF(AND(COUNT(AP24:AP25,AP27,AP38)=4,AP38&gt;0),SUM(AP24:AP25,AP27)/AP38,"n.a.")</x:f>
        <x:v>n.a.</x:v>
      </x:c>
      <x:c r="AQ37" s="79" t="str">
        <x:f>IF(AND(COUNT(AQ24:AQ25,AQ27,AQ38)=4,AQ38&gt;0),SUM(AQ24:AQ25,AQ27)/AQ38,"n.a.")</x:f>
        <x:v>n.a.</x:v>
      </x:c>
      <x:c r="AR37" s="79" t="str">
        <x:f>IF(AND(COUNT(AR24:AR25,AR27,AR38)=4,AR38&gt;0),SUM(AR24:AR25,AR27)/AR38,"n.a.")</x:f>
        <x:v>n.a.</x:v>
      </x:c>
      <x:c r="AS37" s="79" t="str">
        <x:f>IF(AND(COUNT(AS24:AS25,AS27,AS38)=4,AS38&gt;0),SUM(AS24:AS25,AS27)/AS38,"n.a.")</x:f>
        <x:v>n.a.</x:v>
      </x:c>
      <x:c r="AT37" s="79" t="str">
        <x:f>IF(AND(COUNT(AT24:AT25,AT27,AT38)=4,AT38&gt;0),SUM(AT24:AT25,AT27)/AT38,"n.a.")</x:f>
        <x:v>n.a.</x:v>
      </x:c>
      <x:c r="AU37" s="79" t="str">
        <x:f>IF(AND(COUNT(AU24:AU25,AU27,AU38)=4,AU38&gt;0),SUM(AU24:AU25,AU27)/AU38,"n.a.")</x:f>
        <x:v>n.a.</x:v>
      </x:c>
      <x:c r="AV37" s="79" t="str">
        <x:f>IF(AND(COUNT(AV24:AV25,AV27,AV38)=4,AV38&gt;0),SUM(AV24:AV25,AV27)/AV38,"n.a.")</x:f>
        <x:v>n.a.</x:v>
      </x:c>
      <x:c r="AW37" s="79" t="str">
        <x:f>IF(AND(COUNT(AW24:AW25,AW27,AW38)=4,AW38&gt;0),SUM(AW24:AW25,AW27)/AW38,"n.a.")</x:f>
        <x:v>n.a.</x:v>
      </x:c>
      <x:c r="AX37" s="79" t="str">
        <x:f>IF(AND(COUNT(AX24:AX25,AX27,AX38)=4,AX38&gt;0),SUM(AX24:AX25,AX27)/AX38,"n.a.")</x:f>
        <x:v>n.a.</x:v>
      </x:c>
      <x:c r="AY37" s="79" t="str">
        <x:f>IF(AND(COUNT(AY24:AY25,AY27,AY38)=4,AY38&gt;0),SUM(AY24:AY25,AY27)/AY38,"n.a.")</x:f>
        <x:v>n.a.</x:v>
      </x:c>
      <x:c r="AZ37" s="79" t="str">
        <x:f>IF(AND(COUNT(AZ24:AZ25,AZ27,AZ38)=4,AZ38&gt;0),SUM(AZ24:AZ25,AZ27)/AZ38,"n.a.")</x:f>
        <x:v>n.a.</x:v>
      </x:c>
      <x:c r="BA37" s="79" t="str">
        <x:f>IF(AND(COUNT(BA24:BA25,BA27,BA38)=4,BA38&gt;0),SUM(BA24:BA25,BA27)/BA38,"n.a.")</x:f>
        <x:v>n.a.</x:v>
      </x:c>
      <x:c r="BB37" s="79" t="str">
        <x:f>IF(AND(COUNT(BB24:BB25,BB27,BB38)=4,BB38&gt;0),SUM(BB24:BB25,BB27)/BB38,"n.a.")</x:f>
        <x:v>n.a.</x:v>
      </x:c>
      <x:c r="BC37" s="79" t="str">
        <x:f>IF(AND(COUNT(BC24:BC25,BC27,BC38)=4,BC38&gt;0),SUM(BC24:BC25,BC27)/BC38,"n.a.")</x:f>
        <x:v>n.a.</x:v>
      </x:c>
      <x:c r="BD37" s="79" t="str">
        <x:f>IF(AND(COUNT(BD24:BD25,BD27,BD38)=4,BD38&gt;0),SUM(BD24:BD25,BD27)/BD38,"n.a.")</x:f>
        <x:v>n.a.</x:v>
      </x:c>
      <x:c r="BE37" s="79" t="str">
        <x:f>IF(AND(COUNT(BE24:BE25,BE27,BE38)=4,BE38&gt;0),SUM(BE24:BE25,BE27)/BE38,"n.a.")</x:f>
        <x:v>n.a.</x:v>
      </x:c>
      <x:c r="BF37" s="79" t="str">
        <x:f>IF(AND(COUNT(BF24:BF25,BF27,BF38)=4,BF38&gt;0),SUM(BF24:BF25,BF27)/BF38,"n.a.")</x:f>
        <x:v>n.a.</x:v>
      </x:c>
      <x:c r="BG37" s="79" t="str">
        <x:f>IF(AND(COUNT(BG24:BG25,BG27,BG38)=4,BG38&gt;0),SUM(BG24:BG25,BG27)/BG38,"n.a.")</x:f>
        <x:v>n.a.</x:v>
      </x:c>
      <x:c r="BH37" s="79" t="str">
        <x:f>IF(AND(COUNT(BH24:BH25,BH27,BH38)=4,BH38&gt;0),SUM(BH24:BH25,BH27)/BH38,"n.a.")</x:f>
        <x:v>n.a.</x:v>
      </x:c>
      <x:c r="BI37" s="79" t="str">
        <x:f>IF(AND(COUNT(BI24:BI25,BI27,BI38)=4,BI38&gt;0),SUM(BI24:BI25,BI27)/BI38,"n.a.")</x:f>
        <x:v>n.a.</x:v>
      </x:c>
      <x:c r="BJ37" s="79" t="str">
        <x:f>IF(AND(COUNT(BJ24:BJ25,BJ27,BJ38)=4,BJ38&gt;0),SUM(BJ24:BJ25,BJ27)/BJ38,"n.a.")</x:f>
        <x:v>n.a.</x:v>
      </x:c>
      <x:c r="BK37" s="79" t="str">
        <x:f>IF(AND(COUNT(BK24:BK25,BK27,BK38)=4,BK38&gt;0),SUM(BK24:BK25,BK27)/BK38,"n.a.")</x:f>
        <x:v>n.a.</x:v>
      </x:c>
      <x:c r="BL37" s="79" t="str">
        <x:f>IF(AND(COUNT(BL24:BL25,BL27,BL38)=4,BL38&gt;0),SUM(BL24:BL25,BL27)/BL38,"n.a.")</x:f>
        <x:v>n.a.</x:v>
      </x:c>
      <x:c r="BM37" s="79" t="str">
        <x:f>IF(AND(COUNT(BM24:BM25,BM27,BM38)=4,BM38&gt;0),SUM(BM24:BM25,BM27)/BM38,"n.a.")</x:f>
        <x:v>n.a.</x:v>
      </x:c>
      <x:c r="BN37" s="79" t="str">
        <x:f>IF(AND(COUNT(BN24:BN25,BN27,BN38)=4,BN38&gt;0),SUM(BN24:BN25,BN27)/BN38,"n.a.")</x:f>
        <x:v>n.a.</x:v>
      </x:c>
      <x:c r="BO37" s="79" t="str">
        <x:f>IF(AND(COUNT(BO24:BO25,BO27,BO38)=4,BO38&gt;0),SUM(BO24:BO25,BO27)/BO38,"n.a.")</x:f>
        <x:v>n.a.</x:v>
      </x:c>
      <x:c r="BP37" s="79" t="str">
        <x:f>IF(AND(COUNT(BP24:BP25,BP27,BP38)=4,BP38&gt;0),SUM(BP24:BP25,BP27)/BP38,"n.a.")</x:f>
        <x:v>n.a.</x:v>
      </x:c>
      <x:c r="BQ37" s="79" t="str">
        <x:f>IF(AND(COUNT(BQ24:BQ25,BQ27,BQ38)=4,BQ38&gt;0),SUM(BQ24:BQ25,BQ27)/BQ38,"n.a.")</x:f>
        <x:v>n.a.</x:v>
      </x:c>
    </x:row>
    <x:row r="38" ht="23" customHeight="1">
      <x:c r="A38" s="2"/>
      <x:c r="B38" s="2"/>
      <x:c r="C38" s="2" t="str">
        <x:v>Gross new retail subscriptions</x:v>
      </x:c>
      <x:c r="D38" s="90" t="str">
        <x:f>IF(COUNT(J38:U38)=12,SUM(J38:U38),"n.a.")</x:f>
        <x:v>n.a.</x:v>
      </x:c>
      <x:c r="E38" s="90" t="str">
        <x:f>IF(COUNT(V38:AG38)=12,SUM(V38:AG38),"n.a.")</x:f>
        <x:v>n.a.</x:v>
      </x:c>
      <x:c r="F38" s="90" t="str">
        <x:f>IF(COUNT(AH38:AS38)=12,SUM(AH38:AS38),"n.a.")</x:f>
        <x:v>n.a.</x:v>
      </x:c>
      <x:c r="G38" s="90" t="str">
        <x:f>IF(COUNT(AT38:BE38)=12,SUM(AT38:BE38),"n.a.")</x:f>
        <x:v>n.a.</x:v>
      </x:c>
      <x:c r="H38" s="90" t="str">
        <x:f>IF(COUNT(BF38:BQ38)=12,SUM(BF38:BQ38),"n.a.")</x:f>
        <x:v>n.a.</x:v>
      </x:c>
      <x:c r="I38" s="91" t="n">
        <x:f>'Revenue model'!I50</x:f>
        <x:v>500</x:v>
      </x:c>
      <x:c r="J38" s="91" t="str">
        <x:f>'Revenue model'!J50</x:f>
        <x:v>n.a.</x:v>
      </x:c>
      <x:c r="K38" s="91" t="str">
        <x:f>'Revenue model'!K50</x:f>
        <x:v>n.a.</x:v>
      </x:c>
      <x:c r="L38" s="91" t="str">
        <x:f>'Revenue model'!L50</x:f>
        <x:v>n.a.</x:v>
      </x:c>
      <x:c r="M38" s="91" t="str">
        <x:f>'Revenue model'!M50</x:f>
        <x:v>n.a.</x:v>
      </x:c>
      <x:c r="N38" s="91" t="str">
        <x:f>'Revenue model'!N50</x:f>
        <x:v>n.a.</x:v>
      </x:c>
      <x:c r="O38" s="91" t="str">
        <x:f>'Revenue model'!O50</x:f>
        <x:v>n.a.</x:v>
      </x:c>
      <x:c r="P38" s="91" t="str">
        <x:f>'Revenue model'!P50</x:f>
        <x:v>n.a.</x:v>
      </x:c>
      <x:c r="Q38" s="91" t="str">
        <x:f>'Revenue model'!Q50</x:f>
        <x:v>n.a.</x:v>
      </x:c>
      <x:c r="R38" s="91" t="str">
        <x:f>'Revenue model'!R50</x:f>
        <x:v>n.a.</x:v>
      </x:c>
      <x:c r="S38" s="91" t="str">
        <x:f>'Revenue model'!S50</x:f>
        <x:v>n.a.</x:v>
      </x:c>
      <x:c r="T38" s="91" t="str">
        <x:f>'Revenue model'!T50</x:f>
        <x:v>n.a.</x:v>
      </x:c>
      <x:c r="U38" s="91" t="str">
        <x:f>'Revenue model'!U50</x:f>
        <x:v>n.a.</x:v>
      </x:c>
      <x:c r="V38" s="91" t="str">
        <x:f>'Revenue model'!V50</x:f>
        <x:v>n.a.</x:v>
      </x:c>
      <x:c r="W38" s="91" t="str">
        <x:f>'Revenue model'!W50</x:f>
        <x:v>n.a.</x:v>
      </x:c>
      <x:c r="X38" s="91" t="str">
        <x:f>'Revenue model'!X50</x:f>
        <x:v>n.a.</x:v>
      </x:c>
      <x:c r="Y38" s="91" t="str">
        <x:f>'Revenue model'!Y50</x:f>
        <x:v>n.a.</x:v>
      </x:c>
      <x:c r="Z38" s="91" t="str">
        <x:f>'Revenue model'!Z50</x:f>
        <x:v>n.a.</x:v>
      </x:c>
      <x:c r="AA38" s="91" t="str">
        <x:f>'Revenue model'!AA50</x:f>
        <x:v>n.a.</x:v>
      </x:c>
      <x:c r="AB38" s="91" t="str">
        <x:f>'Revenue model'!AB50</x:f>
        <x:v>n.a.</x:v>
      </x:c>
      <x:c r="AC38" s="91" t="str">
        <x:f>'Revenue model'!AC50</x:f>
        <x:v>n.a.</x:v>
      </x:c>
      <x:c r="AD38" s="91" t="str">
        <x:f>'Revenue model'!AD50</x:f>
        <x:v>n.a.</x:v>
      </x:c>
      <x:c r="AE38" s="91" t="str">
        <x:f>'Revenue model'!AE50</x:f>
        <x:v>n.a.</x:v>
      </x:c>
      <x:c r="AF38" s="91" t="str">
        <x:f>'Revenue model'!AF50</x:f>
        <x:v>n.a.</x:v>
      </x:c>
      <x:c r="AG38" s="91" t="str">
        <x:f>'Revenue model'!AG50</x:f>
        <x:v>n.a.</x:v>
      </x:c>
      <x:c r="AH38" s="91" t="str">
        <x:f>'Revenue model'!AH50</x:f>
        <x:v>n.a.</x:v>
      </x:c>
      <x:c r="AI38" s="91" t="str">
        <x:f>'Revenue model'!AI50</x:f>
        <x:v>n.a.</x:v>
      </x:c>
      <x:c r="AJ38" s="91" t="str">
        <x:f>'Revenue model'!AJ50</x:f>
        <x:v>n.a.</x:v>
      </x:c>
      <x:c r="AK38" s="91" t="str">
        <x:f>'Revenue model'!AK50</x:f>
        <x:v>n.a.</x:v>
      </x:c>
      <x:c r="AL38" s="91" t="str">
        <x:f>'Revenue model'!AL50</x:f>
        <x:v>n.a.</x:v>
      </x:c>
      <x:c r="AM38" s="91" t="str">
        <x:f>'Revenue model'!AM50</x:f>
        <x:v>n.a.</x:v>
      </x:c>
      <x:c r="AN38" s="91" t="str">
        <x:f>'Revenue model'!AN50</x:f>
        <x:v>n.a.</x:v>
      </x:c>
      <x:c r="AO38" s="91" t="str">
        <x:f>'Revenue model'!AO50</x:f>
        <x:v>n.a.</x:v>
      </x:c>
      <x:c r="AP38" s="91" t="str">
        <x:f>'Revenue model'!AP50</x:f>
        <x:v>n.a.</x:v>
      </x:c>
      <x:c r="AQ38" s="91" t="str">
        <x:f>'Revenue model'!AQ50</x:f>
        <x:v>n.a.</x:v>
      </x:c>
      <x:c r="AR38" s="91" t="str">
        <x:f>'Revenue model'!AR50</x:f>
        <x:v>n.a.</x:v>
      </x:c>
      <x:c r="AS38" s="91" t="str">
        <x:f>'Revenue model'!AS50</x:f>
        <x:v>n.a.</x:v>
      </x:c>
      <x:c r="AT38" s="91" t="str">
        <x:f>'Revenue model'!AT50</x:f>
        <x:v>n.a.</x:v>
      </x:c>
      <x:c r="AU38" s="91" t="str">
        <x:f>'Revenue model'!AU50</x:f>
        <x:v>n.a.</x:v>
      </x:c>
      <x:c r="AV38" s="91" t="str">
        <x:f>'Revenue model'!AV50</x:f>
        <x:v>n.a.</x:v>
      </x:c>
      <x:c r="AW38" s="91" t="str">
        <x:f>'Revenue model'!AW50</x:f>
        <x:v>n.a.</x:v>
      </x:c>
      <x:c r="AX38" s="91" t="str">
        <x:f>'Revenue model'!AX50</x:f>
        <x:v>n.a.</x:v>
      </x:c>
      <x:c r="AY38" s="91" t="str">
        <x:f>'Revenue model'!AY50</x:f>
        <x:v>n.a.</x:v>
      </x:c>
      <x:c r="AZ38" s="91" t="str">
        <x:f>'Revenue model'!AZ50</x:f>
        <x:v>n.a.</x:v>
      </x:c>
      <x:c r="BA38" s="91" t="str">
        <x:f>'Revenue model'!BA50</x:f>
        <x:v>n.a.</x:v>
      </x:c>
      <x:c r="BB38" s="91" t="str">
        <x:f>'Revenue model'!BB50</x:f>
        <x:v>n.a.</x:v>
      </x:c>
      <x:c r="BC38" s="91" t="str">
        <x:f>'Revenue model'!BC50</x:f>
        <x:v>n.a.</x:v>
      </x:c>
      <x:c r="BD38" s="91" t="str">
        <x:f>'Revenue model'!BD50</x:f>
        <x:v>n.a.</x:v>
      </x:c>
      <x:c r="BE38" s="91" t="str">
        <x:f>'Revenue model'!BE50</x:f>
        <x:v>n.a.</x:v>
      </x:c>
      <x:c r="BF38" s="91" t="str">
        <x:f>'Revenue model'!BF50</x:f>
        <x:v>n.a.</x:v>
      </x:c>
      <x:c r="BG38" s="91" t="str">
        <x:f>'Revenue model'!BG50</x:f>
        <x:v>n.a.</x:v>
      </x:c>
      <x:c r="BH38" s="91" t="str">
        <x:f>'Revenue model'!BH50</x:f>
        <x:v>n.a.</x:v>
      </x:c>
      <x:c r="BI38" s="91" t="str">
        <x:f>'Revenue model'!BI50</x:f>
        <x:v>n.a.</x:v>
      </x:c>
      <x:c r="BJ38" s="91" t="str">
        <x:f>'Revenue model'!BJ50</x:f>
        <x:v>n.a.</x:v>
      </x:c>
      <x:c r="BK38" s="91" t="str">
        <x:f>'Revenue model'!BK50</x:f>
        <x:v>n.a.</x:v>
      </x:c>
      <x:c r="BL38" s="91" t="str">
        <x:f>'Revenue model'!BL50</x:f>
        <x:v>n.a.</x:v>
      </x:c>
      <x:c r="BM38" s="91" t="str">
        <x:f>'Revenue model'!BM50</x:f>
        <x:v>n.a.</x:v>
      </x:c>
      <x:c r="BN38" s="91" t="str">
        <x:f>'Revenue model'!BN50</x:f>
        <x:v>n.a.</x:v>
      </x:c>
      <x:c r="BO38" s="91" t="str">
        <x:f>'Revenue model'!BO50</x:f>
        <x:v>n.a.</x:v>
      </x:c>
      <x:c r="BP38" s="91" t="str">
        <x:f>'Revenue model'!BP50</x:f>
        <x:v>n.a.</x:v>
      </x:c>
      <x:c r="BQ38" s="91" t="str">
        <x:f>'Revenue model'!BQ50</x:f>
        <x:v>n.a.</x:v>
      </x:c>
    </x:row>
    <x:row r="39" ht="23" customHeight="1">
      <x:c r="A39" s="2"/>
      <x:c r="B39" s="2"/>
      <x:c r="C39" s="2" t="str">
        <x:v>Paid FTE</x:v>
      </x:c>
      <x:c r="D39" s="90" t="str">
        <x:f>U39</x:f>
        <x:v>n.a.</x:v>
      </x:c>
      <x:c r="E39" s="90" t="str">
        <x:f>AG39</x:f>
        <x:v>n.a.</x:v>
      </x:c>
      <x:c r="F39" s="90" t="str">
        <x:f>AS39</x:f>
        <x:v>n.a.</x:v>
      </x:c>
      <x:c r="G39" s="90" t="str">
        <x:f>BE39</x:f>
        <x:v>n.a.</x:v>
      </x:c>
      <x:c r="H39" s="90" t="str">
        <x:f>BQ39</x:f>
        <x:v>n.a.</x:v>
      </x:c>
      <x:c r="I39" s="91" t="str">
        <x:f>IF(COUNT('Assumptions'!D36:'Assumptions'!D38)=3,SUM('Assumptions'!D36:'Assumptions'!D38),"n.a.")</x:f>
        <x:v>n.a.</x:v>
      </x:c>
      <x:c r="J39" s="91" t="str">
        <x:f>IF(COUNT('Assumptions'!D36:'Assumptions'!D38)=3,SUM('Assumptions'!D36:'Assumptions'!D38),"n.a.")</x:f>
        <x:v>n.a.</x:v>
      </x:c>
      <x:c r="K39" s="91" t="str">
        <x:f>IF(COUNT('Assumptions'!D36:'Assumptions'!D38)=3,SUM('Assumptions'!D36:'Assumptions'!D38),"n.a.")</x:f>
        <x:v>n.a.</x:v>
      </x:c>
      <x:c r="L39" s="91" t="str">
        <x:f>IF(COUNT('Assumptions'!D36:'Assumptions'!D38)=3,SUM('Assumptions'!D36:'Assumptions'!D38),"n.a.")</x:f>
        <x:v>n.a.</x:v>
      </x:c>
      <x:c r="M39" s="91" t="str">
        <x:f>IF(COUNT('Assumptions'!D36:'Assumptions'!D38)=3,SUM('Assumptions'!D36:'Assumptions'!D38),"n.a.")</x:f>
        <x:v>n.a.</x:v>
      </x:c>
      <x:c r="N39" s="91" t="str">
        <x:f>IF(COUNT('Assumptions'!D36:'Assumptions'!D38)=3,SUM('Assumptions'!D36:'Assumptions'!D38),"n.a.")</x:f>
        <x:v>n.a.</x:v>
      </x:c>
      <x:c r="O39" s="91" t="str">
        <x:f>IF(COUNT('Assumptions'!D36:'Assumptions'!D38)=3,SUM('Assumptions'!D36:'Assumptions'!D38),"n.a.")</x:f>
        <x:v>n.a.</x:v>
      </x:c>
      <x:c r="P39" s="91" t="str">
        <x:f>IF(COUNT('Assumptions'!D36:'Assumptions'!D38)=3,SUM('Assumptions'!D36:'Assumptions'!D38),"n.a.")</x:f>
        <x:v>n.a.</x:v>
      </x:c>
      <x:c r="Q39" s="91" t="str">
        <x:f>IF(COUNT('Assumptions'!D36:'Assumptions'!D38)=3,SUM('Assumptions'!D36:'Assumptions'!D38),"n.a.")</x:f>
        <x:v>n.a.</x:v>
      </x:c>
      <x:c r="R39" s="91" t="str">
        <x:f>IF(COUNT('Assumptions'!D36:'Assumptions'!D38)=3,SUM('Assumptions'!D36:'Assumptions'!D38),"n.a.")</x:f>
        <x:v>n.a.</x:v>
      </x:c>
      <x:c r="S39" s="91" t="str">
        <x:f>IF(COUNT('Assumptions'!D36:'Assumptions'!D38)=3,SUM('Assumptions'!D36:'Assumptions'!D38),"n.a.")</x:f>
        <x:v>n.a.</x:v>
      </x:c>
      <x:c r="T39" s="91" t="str">
        <x:f>IF(COUNT('Assumptions'!D36:'Assumptions'!D38)=3,SUM('Assumptions'!D36:'Assumptions'!D38),"n.a.")</x:f>
        <x:v>n.a.</x:v>
      </x:c>
      <x:c r="U39" s="91" t="str">
        <x:f>IF(COUNT('Assumptions'!D36:'Assumptions'!D38)=3,SUM('Assumptions'!D36:'Assumptions'!D38),"n.a.")</x:f>
        <x:v>n.a.</x:v>
      </x:c>
      <x:c r="V39" s="91" t="str">
        <x:f>IF(COUNT('Assumptions'!E36:'Assumptions'!E38)=3,SUM('Assumptions'!E36:'Assumptions'!E38),"n.a.")</x:f>
        <x:v>n.a.</x:v>
      </x:c>
      <x:c r="W39" s="91" t="str">
        <x:f>IF(COUNT('Assumptions'!E36:'Assumptions'!E38)=3,SUM('Assumptions'!E36:'Assumptions'!E38),"n.a.")</x:f>
        <x:v>n.a.</x:v>
      </x:c>
      <x:c r="X39" s="91" t="str">
        <x:f>IF(COUNT('Assumptions'!E36:'Assumptions'!E38)=3,SUM('Assumptions'!E36:'Assumptions'!E38),"n.a.")</x:f>
        <x:v>n.a.</x:v>
      </x:c>
      <x:c r="Y39" s="91" t="str">
        <x:f>IF(COUNT('Assumptions'!E36:'Assumptions'!E38)=3,SUM('Assumptions'!E36:'Assumptions'!E38),"n.a.")</x:f>
        <x:v>n.a.</x:v>
      </x:c>
      <x:c r="Z39" s="91" t="str">
        <x:f>IF(COUNT('Assumptions'!E36:'Assumptions'!E38)=3,SUM('Assumptions'!E36:'Assumptions'!E38),"n.a.")</x:f>
        <x:v>n.a.</x:v>
      </x:c>
      <x:c r="AA39" s="91" t="str">
        <x:f>IF(COUNT('Assumptions'!E36:'Assumptions'!E38)=3,SUM('Assumptions'!E36:'Assumptions'!E38),"n.a.")</x:f>
        <x:v>n.a.</x:v>
      </x:c>
      <x:c r="AB39" s="91" t="str">
        <x:f>IF(COUNT('Assumptions'!E36:'Assumptions'!E38)=3,SUM('Assumptions'!E36:'Assumptions'!E38),"n.a.")</x:f>
        <x:v>n.a.</x:v>
      </x:c>
      <x:c r="AC39" s="91" t="str">
        <x:f>IF(COUNT('Assumptions'!E36:'Assumptions'!E38)=3,SUM('Assumptions'!E36:'Assumptions'!E38),"n.a.")</x:f>
        <x:v>n.a.</x:v>
      </x:c>
      <x:c r="AD39" s="91" t="str">
        <x:f>IF(COUNT('Assumptions'!E36:'Assumptions'!E38)=3,SUM('Assumptions'!E36:'Assumptions'!E38),"n.a.")</x:f>
        <x:v>n.a.</x:v>
      </x:c>
      <x:c r="AE39" s="91" t="str">
        <x:f>IF(COUNT('Assumptions'!E36:'Assumptions'!E38)=3,SUM('Assumptions'!E36:'Assumptions'!E38),"n.a.")</x:f>
        <x:v>n.a.</x:v>
      </x:c>
      <x:c r="AF39" s="91" t="str">
        <x:f>IF(COUNT('Assumptions'!E36:'Assumptions'!E38)=3,SUM('Assumptions'!E36:'Assumptions'!E38),"n.a.")</x:f>
        <x:v>n.a.</x:v>
      </x:c>
      <x:c r="AG39" s="91" t="str">
        <x:f>IF(COUNT('Assumptions'!E36:'Assumptions'!E38)=3,SUM('Assumptions'!E36:'Assumptions'!E38),"n.a.")</x:f>
        <x:v>n.a.</x:v>
      </x:c>
      <x:c r="AH39" s="91" t="str">
        <x:f>IF(COUNT('Assumptions'!F36:'Assumptions'!F38)=3,SUM('Assumptions'!F36:'Assumptions'!F38),"n.a.")</x:f>
        <x:v>n.a.</x:v>
      </x:c>
      <x:c r="AI39" s="91" t="str">
        <x:f>IF(COUNT('Assumptions'!F36:'Assumptions'!F38)=3,SUM('Assumptions'!F36:'Assumptions'!F38),"n.a.")</x:f>
        <x:v>n.a.</x:v>
      </x:c>
      <x:c r="AJ39" s="91" t="str">
        <x:f>IF(COUNT('Assumptions'!F36:'Assumptions'!F38)=3,SUM('Assumptions'!F36:'Assumptions'!F38),"n.a.")</x:f>
        <x:v>n.a.</x:v>
      </x:c>
      <x:c r="AK39" s="91" t="str">
        <x:f>IF(COUNT('Assumptions'!F36:'Assumptions'!F38)=3,SUM('Assumptions'!F36:'Assumptions'!F38),"n.a.")</x:f>
        <x:v>n.a.</x:v>
      </x:c>
      <x:c r="AL39" s="91" t="str">
        <x:f>IF(COUNT('Assumptions'!F36:'Assumptions'!F38)=3,SUM('Assumptions'!F36:'Assumptions'!F38),"n.a.")</x:f>
        <x:v>n.a.</x:v>
      </x:c>
      <x:c r="AM39" s="91" t="str">
        <x:f>IF(COUNT('Assumptions'!F36:'Assumptions'!F38)=3,SUM('Assumptions'!F36:'Assumptions'!F38),"n.a.")</x:f>
        <x:v>n.a.</x:v>
      </x:c>
      <x:c r="AN39" s="91" t="str">
        <x:f>IF(COUNT('Assumptions'!F36:'Assumptions'!F38)=3,SUM('Assumptions'!F36:'Assumptions'!F38),"n.a.")</x:f>
        <x:v>n.a.</x:v>
      </x:c>
      <x:c r="AO39" s="91" t="str">
        <x:f>IF(COUNT('Assumptions'!F36:'Assumptions'!F38)=3,SUM('Assumptions'!F36:'Assumptions'!F38),"n.a.")</x:f>
        <x:v>n.a.</x:v>
      </x:c>
      <x:c r="AP39" s="91" t="str">
        <x:f>IF(COUNT('Assumptions'!F36:'Assumptions'!F38)=3,SUM('Assumptions'!F36:'Assumptions'!F38),"n.a.")</x:f>
        <x:v>n.a.</x:v>
      </x:c>
      <x:c r="AQ39" s="91" t="str">
        <x:f>IF(COUNT('Assumptions'!F36:'Assumptions'!F38)=3,SUM('Assumptions'!F36:'Assumptions'!F38),"n.a.")</x:f>
        <x:v>n.a.</x:v>
      </x:c>
      <x:c r="AR39" s="91" t="str">
        <x:f>IF(COUNT('Assumptions'!F36:'Assumptions'!F38)=3,SUM('Assumptions'!F36:'Assumptions'!F38),"n.a.")</x:f>
        <x:v>n.a.</x:v>
      </x:c>
      <x:c r="AS39" s="91" t="str">
        <x:f>IF(COUNT('Assumptions'!F36:'Assumptions'!F38)=3,SUM('Assumptions'!F36:'Assumptions'!F38),"n.a.")</x:f>
        <x:v>n.a.</x:v>
      </x:c>
      <x:c r="AT39" s="91" t="str">
        <x:f>IF(COUNT('Assumptions'!G36:'Assumptions'!G38)=3,SUM('Assumptions'!G36:'Assumptions'!G38),"n.a.")</x:f>
        <x:v>n.a.</x:v>
      </x:c>
      <x:c r="AU39" s="91" t="str">
        <x:f>IF(COUNT('Assumptions'!G36:'Assumptions'!G38)=3,SUM('Assumptions'!G36:'Assumptions'!G38),"n.a.")</x:f>
        <x:v>n.a.</x:v>
      </x:c>
      <x:c r="AV39" s="91" t="str">
        <x:f>IF(COUNT('Assumptions'!G36:'Assumptions'!G38)=3,SUM('Assumptions'!G36:'Assumptions'!G38),"n.a.")</x:f>
        <x:v>n.a.</x:v>
      </x:c>
      <x:c r="AW39" s="91" t="str">
        <x:f>IF(COUNT('Assumptions'!G36:'Assumptions'!G38)=3,SUM('Assumptions'!G36:'Assumptions'!G38),"n.a.")</x:f>
        <x:v>n.a.</x:v>
      </x:c>
      <x:c r="AX39" s="91" t="str">
        <x:f>IF(COUNT('Assumptions'!G36:'Assumptions'!G38)=3,SUM('Assumptions'!G36:'Assumptions'!G38),"n.a.")</x:f>
        <x:v>n.a.</x:v>
      </x:c>
      <x:c r="AY39" s="91" t="str">
        <x:f>IF(COUNT('Assumptions'!G36:'Assumptions'!G38)=3,SUM('Assumptions'!G36:'Assumptions'!G38),"n.a.")</x:f>
        <x:v>n.a.</x:v>
      </x:c>
      <x:c r="AZ39" s="91" t="str">
        <x:f>IF(COUNT('Assumptions'!G36:'Assumptions'!G38)=3,SUM('Assumptions'!G36:'Assumptions'!G38),"n.a.")</x:f>
        <x:v>n.a.</x:v>
      </x:c>
      <x:c r="BA39" s="91" t="str">
        <x:f>IF(COUNT('Assumptions'!G36:'Assumptions'!G38)=3,SUM('Assumptions'!G36:'Assumptions'!G38),"n.a.")</x:f>
        <x:v>n.a.</x:v>
      </x:c>
      <x:c r="BB39" s="91" t="str">
        <x:f>IF(COUNT('Assumptions'!G36:'Assumptions'!G38)=3,SUM('Assumptions'!G36:'Assumptions'!G38),"n.a.")</x:f>
        <x:v>n.a.</x:v>
      </x:c>
      <x:c r="BC39" s="91" t="str">
        <x:f>IF(COUNT('Assumptions'!G36:'Assumptions'!G38)=3,SUM('Assumptions'!G36:'Assumptions'!G38),"n.a.")</x:f>
        <x:v>n.a.</x:v>
      </x:c>
      <x:c r="BD39" s="91" t="str">
        <x:f>IF(COUNT('Assumptions'!G36:'Assumptions'!G38)=3,SUM('Assumptions'!G36:'Assumptions'!G38),"n.a.")</x:f>
        <x:v>n.a.</x:v>
      </x:c>
      <x:c r="BE39" s="91" t="str">
        <x:f>IF(COUNT('Assumptions'!G36:'Assumptions'!G38)=3,SUM('Assumptions'!G36:'Assumptions'!G38),"n.a.")</x:f>
        <x:v>n.a.</x:v>
      </x:c>
      <x:c r="BF39" s="91" t="str">
        <x:f>IF(COUNT('Assumptions'!H36:'Assumptions'!H38)=3,SUM('Assumptions'!H36:'Assumptions'!H38),"n.a.")</x:f>
        <x:v>n.a.</x:v>
      </x:c>
      <x:c r="BG39" s="91" t="str">
        <x:f>IF(COUNT('Assumptions'!H36:'Assumptions'!H38)=3,SUM('Assumptions'!H36:'Assumptions'!H38),"n.a.")</x:f>
        <x:v>n.a.</x:v>
      </x:c>
      <x:c r="BH39" s="91" t="str">
        <x:f>IF(COUNT('Assumptions'!H36:'Assumptions'!H38)=3,SUM('Assumptions'!H36:'Assumptions'!H38),"n.a.")</x:f>
        <x:v>n.a.</x:v>
      </x:c>
      <x:c r="BI39" s="91" t="str">
        <x:f>IF(COUNT('Assumptions'!H36:'Assumptions'!H38)=3,SUM('Assumptions'!H36:'Assumptions'!H38),"n.a.")</x:f>
        <x:v>n.a.</x:v>
      </x:c>
      <x:c r="BJ39" s="91" t="str">
        <x:f>IF(COUNT('Assumptions'!H36:'Assumptions'!H38)=3,SUM('Assumptions'!H36:'Assumptions'!H38),"n.a.")</x:f>
        <x:v>n.a.</x:v>
      </x:c>
      <x:c r="BK39" s="91" t="str">
        <x:f>IF(COUNT('Assumptions'!H36:'Assumptions'!H38)=3,SUM('Assumptions'!H36:'Assumptions'!H38),"n.a.")</x:f>
        <x:v>n.a.</x:v>
      </x:c>
      <x:c r="BL39" s="91" t="str">
        <x:f>IF(COUNT('Assumptions'!H36:'Assumptions'!H38)=3,SUM('Assumptions'!H36:'Assumptions'!H38),"n.a.")</x:f>
        <x:v>n.a.</x:v>
      </x:c>
      <x:c r="BM39" s="91" t="str">
        <x:f>IF(COUNT('Assumptions'!H36:'Assumptions'!H38)=3,SUM('Assumptions'!H36:'Assumptions'!H38),"n.a.")</x:f>
        <x:v>n.a.</x:v>
      </x:c>
      <x:c r="BN39" s="91" t="str">
        <x:f>IF(COUNT('Assumptions'!H36:'Assumptions'!H38)=3,SUM('Assumptions'!H36:'Assumptions'!H38),"n.a.")</x:f>
        <x:v>n.a.</x:v>
      </x:c>
      <x:c r="BO39" s="91" t="str">
        <x:f>IF(COUNT('Assumptions'!H36:'Assumptions'!H38)=3,SUM('Assumptions'!H36:'Assumptions'!H38),"n.a.")</x:f>
        <x:v>n.a.</x:v>
      </x:c>
      <x:c r="BP39" s="91" t="str">
        <x:f>IF(COUNT('Assumptions'!H36:'Assumptions'!H38)=3,SUM('Assumptions'!H36:'Assumptions'!H38),"n.a.")</x:f>
        <x:v>n.a.</x:v>
      </x:c>
      <x:c r="BQ39" s="91" t="str">
        <x:f>IF(COUNT('Assumptions'!H36:'Assumptions'!H38)=3,SUM('Assumptions'!H36:'Assumptions'!H38),"n.a.")</x:f>
        <x:v>n.a.</x:v>
      </x:c>
    </x:row>
    <x:row r="40" ht="23" customHeight="1">
      <x:c r="A40" s="2"/>
      <x:c r="B40" s="2"/>
      <x:c r="C40" s="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  <x:c r="AF40" s="4"/>
      <x:c r="AG40" s="4"/>
      <x:c r="AH40" s="4"/>
      <x:c r="AI40" s="4"/>
      <x:c r="AJ40" s="4"/>
      <x:c r="AK40" s="4"/>
      <x:c r="AL40" s="4"/>
      <x:c r="AM40" s="4"/>
      <x:c r="AN40" s="4"/>
      <x:c r="AO40" s="4"/>
      <x:c r="AP40" s="4"/>
      <x:c r="AQ40" s="4"/>
      <x:c r="AR40" s="4"/>
      <x:c r="AS40" s="4"/>
      <x:c r="AT40" s="4"/>
      <x:c r="AU40" s="4"/>
      <x:c r="AV40" s="4"/>
      <x:c r="AW40" s="4"/>
      <x:c r="AX40" s="4"/>
      <x:c r="AY40" s="4"/>
      <x:c r="AZ40" s="4"/>
      <x:c r="BA40" s="4"/>
      <x:c r="BB40" s="4"/>
      <x:c r="BC40" s="4"/>
      <x:c r="BD40" s="4"/>
      <x:c r="BE40" s="4"/>
      <x:c r="BF40" s="4"/>
      <x:c r="BG40" s="4"/>
      <x:c r="BH40" s="4"/>
      <x:c r="BI40" s="4"/>
      <x:c r="BJ40" s="4"/>
      <x:c r="BK40" s="4"/>
      <x:c r="BL40" s="4"/>
      <x:c r="BM40" s="4"/>
      <x:c r="BN40" s="4"/>
      <x:c r="BO40" s="4"/>
      <x:c r="BP40" s="4"/>
      <x:c r="BQ40" s="4"/>
    </x:row>
    <x:row r="41" ht="23" customHeight="1">
      <x:c r="A41" s="2"/>
      <x:c r="B41" s="2"/>
      <x:c r="C41" s="2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  <x:c r="AF41" s="4"/>
      <x:c r="AG41" s="4"/>
      <x:c r="AH41" s="4"/>
      <x:c r="AI41" s="4"/>
      <x:c r="AJ41" s="4"/>
      <x:c r="AK41" s="4"/>
      <x:c r="AL41" s="4"/>
      <x:c r="AM41" s="4"/>
      <x:c r="AN41" s="4"/>
      <x:c r="AO41" s="4"/>
      <x:c r="AP41" s="4"/>
      <x:c r="AQ41" s="4"/>
      <x:c r="AR41" s="4"/>
      <x:c r="AS41" s="4"/>
      <x:c r="AT41" s="4"/>
      <x:c r="AU41" s="4"/>
      <x:c r="AV41" s="4"/>
      <x:c r="AW41" s="4"/>
      <x:c r="AX41" s="4"/>
      <x:c r="AY41" s="4"/>
      <x:c r="AZ41" s="4"/>
      <x:c r="BA41" s="4"/>
      <x:c r="BB41" s="4"/>
      <x:c r="BC41" s="4"/>
      <x:c r="BD41" s="4"/>
      <x:c r="BE41" s="4"/>
      <x:c r="BF41" s="4"/>
      <x:c r="BG41" s="4"/>
      <x:c r="BH41" s="4"/>
      <x:c r="BI41" s="4"/>
      <x:c r="BJ41" s="4"/>
      <x:c r="BK41" s="4"/>
      <x:c r="BL41" s="4"/>
      <x:c r="BM41" s="4"/>
      <x:c r="BN41" s="4"/>
      <x:c r="BO41" s="4"/>
      <x:c r="BP41" s="4"/>
      <x:c r="BQ41" s="4"/>
    </x:row>
    <x:row r="42" ht="22" customHeight="1">
      <x:c r="A42" s="2"/>
      <x:c r="B42" s="2"/>
      <x:c r="C42" s="10" t="str">
        <x:v>CAC uses marketing, partner commissions and sales/support payroll divided by required new retail subscriptions.</x:v>
      </x:c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  <x:c r="O42" s="50"/>
      <x:c r="P42" s="50"/>
      <x:c r="Q42" s="50"/>
      <x:c r="R42" s="50"/>
      <x:c r="S42" s="50"/>
      <x:c r="T42" s="50"/>
      <x:c r="U42" s="50"/>
      <x:c r="V42" s="50"/>
      <x:c r="W42" s="50"/>
      <x:c r="X42" s="50"/>
      <x:c r="Y42" s="50"/>
      <x:c r="Z42" s="50"/>
      <x:c r="AA42" s="50"/>
      <x:c r="AB42" s="50"/>
      <x:c r="AC42" s="50"/>
      <x:c r="AD42" s="50"/>
      <x:c r="AE42" s="50"/>
      <x:c r="AF42" s="50"/>
      <x:c r="AG42" s="50"/>
      <x:c r="AH42" s="50"/>
      <x:c r="AI42" s="50"/>
      <x:c r="AJ42" s="50"/>
      <x:c r="AK42" s="50"/>
      <x:c r="AL42" s="50"/>
      <x:c r="AM42" s="50"/>
      <x:c r="AN42" s="50"/>
      <x:c r="AO42" s="50"/>
      <x:c r="AP42" s="50"/>
      <x:c r="AQ42" s="50"/>
      <x:c r="AR42" s="50"/>
      <x:c r="AS42" s="50"/>
      <x:c r="AT42" s="50"/>
      <x:c r="AU42" s="50"/>
      <x:c r="AV42" s="50"/>
      <x:c r="AW42" s="50"/>
      <x:c r="AX42" s="50"/>
      <x:c r="AY42" s="50"/>
      <x:c r="AZ42" s="50"/>
      <x:c r="BA42" s="50"/>
      <x:c r="BB42" s="50"/>
      <x:c r="BC42" s="50"/>
      <x:c r="BD42" s="50"/>
      <x:c r="BE42" s="50"/>
      <x:c r="BF42" s="50"/>
      <x:c r="BG42" s="50"/>
      <x:c r="BH42" s="50"/>
      <x:c r="BI42" s="50"/>
      <x:c r="BJ42" s="50"/>
      <x:c r="BK42" s="50"/>
      <x:c r="BL42" s="50"/>
      <x:c r="BM42" s="50"/>
      <x:c r="BN42" s="50"/>
      <x:c r="BO42" s="50"/>
      <x:c r="BP42" s="50"/>
      <x:c r="BQ42" s="50"/>
    </x:row>
    <x:row r="43" ht="22" customHeight="1">
      <x:c r="A43" s="2"/>
      <x:c r="B43" s="2"/>
      <x:c r="C43" s="10" t="str">
        <x:v>This is a blended planning measure, not observed channel CAC. Staff also serving institutions should be allocated before use.</x:v>
      </x:c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  <x:c r="O43" s="50"/>
      <x:c r="P43" s="50"/>
      <x:c r="Q43" s="50"/>
      <x:c r="R43" s="50"/>
      <x:c r="S43" s="50"/>
      <x:c r="T43" s="50"/>
      <x:c r="U43" s="50"/>
      <x:c r="V43" s="50"/>
      <x:c r="W43" s="50"/>
      <x:c r="X43" s="50"/>
      <x:c r="Y43" s="50"/>
      <x:c r="Z43" s="50"/>
      <x:c r="AA43" s="50"/>
      <x:c r="AB43" s="50"/>
      <x:c r="AC43" s="50"/>
      <x:c r="AD43" s="50"/>
      <x:c r="AE43" s="50"/>
      <x:c r="AF43" s="50"/>
      <x:c r="AG43" s="50"/>
      <x:c r="AH43" s="50"/>
      <x:c r="AI43" s="50"/>
      <x:c r="AJ43" s="50"/>
      <x:c r="AK43" s="50"/>
      <x:c r="AL43" s="50"/>
      <x:c r="AM43" s="50"/>
      <x:c r="AN43" s="50"/>
      <x:c r="AO43" s="50"/>
      <x:c r="AP43" s="50"/>
      <x:c r="AQ43" s="50"/>
      <x:c r="AR43" s="50"/>
      <x:c r="AS43" s="50"/>
      <x:c r="AT43" s="50"/>
      <x:c r="AU43" s="50"/>
      <x:c r="AV43" s="50"/>
      <x:c r="AW43" s="50"/>
      <x:c r="AX43" s="50"/>
      <x:c r="AY43" s="50"/>
      <x:c r="AZ43" s="50"/>
      <x:c r="BA43" s="50"/>
      <x:c r="BB43" s="50"/>
      <x:c r="BC43" s="50"/>
      <x:c r="BD43" s="50"/>
      <x:c r="BE43" s="50"/>
      <x:c r="BF43" s="50"/>
      <x:c r="BG43" s="50"/>
      <x:c r="BH43" s="50"/>
      <x:c r="BI43" s="50"/>
      <x:c r="BJ43" s="50"/>
      <x:c r="BK43" s="50"/>
      <x:c r="BL43" s="50"/>
      <x:c r="BM43" s="50"/>
      <x:c r="BN43" s="50"/>
      <x:c r="BO43" s="50"/>
      <x:c r="BP43" s="50"/>
      <x:c r="BQ43" s="50"/>
    </x:row>
    <x:row r="44" ht="23" customHeight="1">
      <x:c r="A44" s="2"/>
      <x:c r="B44" s="2"/>
      <x:c r="C44" s="2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  <x:c r="AF44" s="4"/>
      <x:c r="AG44" s="4"/>
      <x:c r="AH44" s="4"/>
      <x:c r="AI44" s="4"/>
      <x:c r="AJ44" s="4"/>
      <x:c r="AK44" s="4"/>
      <x:c r="AL44" s="4"/>
      <x:c r="AM44" s="4"/>
      <x:c r="AN44" s="4"/>
      <x:c r="AO44" s="4"/>
      <x:c r="AP44" s="4"/>
      <x:c r="AQ44" s="4"/>
      <x:c r="AR44" s="4"/>
      <x:c r="AS44" s="4"/>
      <x:c r="AT44" s="4"/>
      <x:c r="AU44" s="4"/>
      <x:c r="AV44" s="4"/>
      <x:c r="AW44" s="4"/>
      <x:c r="AX44" s="4"/>
      <x:c r="AY44" s="4"/>
      <x:c r="AZ44" s="4"/>
      <x:c r="BA44" s="4"/>
      <x:c r="BB44" s="4"/>
      <x:c r="BC44" s="4"/>
      <x:c r="BD44" s="4"/>
      <x:c r="BE44" s="4"/>
      <x:c r="BF44" s="4"/>
      <x:c r="BG44" s="4"/>
      <x:c r="BH44" s="4"/>
      <x:c r="BI44" s="4"/>
      <x:c r="BJ44" s="4"/>
      <x:c r="BK44" s="4"/>
      <x:c r="BL44" s="4"/>
      <x:c r="BM44" s="4"/>
      <x:c r="BN44" s="4"/>
      <x:c r="BO44" s="4"/>
      <x:c r="BP44" s="4"/>
      <x:c r="BQ44" s="4"/>
    </x:row>
    <x:row r="45" ht="22" customHeight="1">
      <x:c r="A45" s="2"/>
      <x:c r="B45" s="2"/>
      <x:c r="C45" s="10" t="str">
        <x:v>Cash and runway need opening bank cash, collection timing, capex, taxes and financing. Cumulative EBITDA is not cash.</x:v>
      </x:c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  <x:c r="O45" s="50"/>
      <x:c r="P45" s="50"/>
      <x:c r="Q45" s="50"/>
      <x:c r="R45" s="50"/>
      <x:c r="S45" s="50"/>
      <x:c r="T45" s="50"/>
      <x:c r="U45" s="50"/>
      <x:c r="V45" s="50"/>
      <x:c r="W45" s="50"/>
      <x:c r="X45" s="50"/>
      <x:c r="Y45" s="50"/>
      <x:c r="Z45" s="50"/>
      <x:c r="AA45" s="50"/>
      <x:c r="AB45" s="50"/>
      <x:c r="AC45" s="50"/>
      <x:c r="AD45" s="50"/>
      <x:c r="AE45" s="50"/>
      <x:c r="AF45" s="50"/>
      <x:c r="AG45" s="50"/>
      <x:c r="AH45" s="50"/>
      <x:c r="AI45" s="50"/>
      <x:c r="AJ45" s="50"/>
      <x:c r="AK45" s="50"/>
      <x:c r="AL45" s="50"/>
      <x:c r="AM45" s="50"/>
      <x:c r="AN45" s="50"/>
      <x:c r="AO45" s="50"/>
      <x:c r="AP45" s="50"/>
      <x:c r="AQ45" s="50"/>
      <x:c r="AR45" s="50"/>
      <x:c r="AS45" s="50"/>
      <x:c r="AT45" s="50"/>
      <x:c r="AU45" s="50"/>
      <x:c r="AV45" s="50"/>
      <x:c r="AW45" s="50"/>
      <x:c r="AX45" s="50"/>
      <x:c r="AY45" s="50"/>
      <x:c r="AZ45" s="50"/>
      <x:c r="BA45" s="50"/>
      <x:c r="BB45" s="50"/>
      <x:c r="BC45" s="50"/>
      <x:c r="BD45" s="50"/>
      <x:c r="BE45" s="50"/>
      <x:c r="BF45" s="50"/>
      <x:c r="BG45" s="50"/>
      <x:c r="BH45" s="50"/>
      <x:c r="BI45" s="50"/>
      <x:c r="BJ45" s="50"/>
      <x:c r="BK45" s="50"/>
      <x:c r="BL45" s="50"/>
      <x:c r="BM45" s="50"/>
      <x:c r="BN45" s="50"/>
      <x:c r="BO45" s="50"/>
      <x:c r="BP45" s="50"/>
      <x:c r="BQ45" s="50"/>
    </x:row>
    <x:row r="46" ht="22" customHeight="1">
      <x:c r="A46" s="2"/>
      <x:c r="B46" s="2"/>
      <x:c r="C46" s="10" t="str">
        <x:v>The deck claim of $1M funding for 18 months is not validated by this P&amp;L while cost and cash inputs are missing.</x:v>
      </x:c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  <x:c r="O46" s="50"/>
      <x:c r="P46" s="50"/>
      <x:c r="Q46" s="50"/>
      <x:c r="R46" s="50"/>
      <x:c r="S46" s="50"/>
      <x:c r="T46" s="50"/>
      <x:c r="U46" s="50"/>
      <x:c r="V46" s="50"/>
      <x:c r="W46" s="50"/>
      <x:c r="X46" s="50"/>
      <x:c r="Y46" s="50"/>
      <x:c r="Z46" s="50"/>
      <x:c r="AA46" s="50"/>
      <x:c r="AB46" s="50"/>
      <x:c r="AC46" s="50"/>
      <x:c r="AD46" s="50"/>
      <x:c r="AE46" s="50"/>
      <x:c r="AF46" s="50"/>
      <x:c r="AG46" s="50"/>
      <x:c r="AH46" s="50"/>
      <x:c r="AI46" s="50"/>
      <x:c r="AJ46" s="50"/>
      <x:c r="AK46" s="50"/>
      <x:c r="AL46" s="50"/>
      <x:c r="AM46" s="50"/>
      <x:c r="AN46" s="50"/>
      <x:c r="AO46" s="50"/>
      <x:c r="AP46" s="50"/>
      <x:c r="AQ46" s="50"/>
      <x:c r="AR46" s="50"/>
      <x:c r="AS46" s="50"/>
      <x:c r="AT46" s="50"/>
      <x:c r="AU46" s="50"/>
      <x:c r="AV46" s="50"/>
      <x:c r="AW46" s="50"/>
      <x:c r="AX46" s="50"/>
      <x:c r="AY46" s="50"/>
      <x:c r="AZ46" s="50"/>
      <x:c r="BA46" s="50"/>
      <x:c r="BB46" s="50"/>
      <x:c r="BC46" s="50"/>
      <x:c r="BD46" s="50"/>
      <x:c r="BE46" s="50"/>
      <x:c r="BF46" s="50"/>
      <x:c r="BG46" s="50"/>
      <x:c r="BH46" s="50"/>
      <x:c r="BI46" s="50"/>
      <x:c r="BJ46" s="50"/>
      <x:c r="BK46" s="50"/>
      <x:c r="BL46" s="50"/>
      <x:c r="BM46" s="50"/>
      <x:c r="BN46" s="50"/>
      <x:c r="BO46" s="50"/>
      <x:c r="BP46" s="50"/>
      <x:c r="BQ46" s="50"/>
    </x:row>
    <x:row r="47" ht="23" customHeight="1">
      <x:c r="A47" s="2"/>
      <x:c r="B47" s="2"/>
      <x:c r="C47" s="2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4"/>
      <x:c r="AQ47" s="4"/>
      <x:c r="AR47" s="4"/>
      <x:c r="AS47" s="4"/>
      <x:c r="AT47" s="4"/>
      <x:c r="AU47" s="4"/>
      <x:c r="AV47" s="4"/>
      <x:c r="AW47" s="4"/>
      <x:c r="AX47" s="4"/>
      <x:c r="AY47" s="4"/>
      <x:c r="AZ47" s="4"/>
      <x:c r="BA47" s="4"/>
      <x:c r="BB47" s="4"/>
      <x:c r="BC47" s="4"/>
      <x:c r="BD47" s="4"/>
      <x:c r="BE47" s="4"/>
      <x:c r="BF47" s="4"/>
      <x:c r="BG47" s="4"/>
      <x:c r="BH47" s="4"/>
      <x:c r="BI47" s="4"/>
      <x:c r="BJ47" s="4"/>
      <x:c r="BK47" s="4"/>
      <x:c r="BL47" s="4"/>
      <x:c r="BM47" s="4"/>
      <x:c r="BN47" s="4"/>
      <x:c r="BO47" s="4"/>
      <x:c r="BP47" s="4"/>
      <x:c r="BQ47" s="4"/>
    </x:row>
    <x:row r="48" ht="23" customHeight="1">
      <x:c r="A48" s="2"/>
      <x:c r="B48" s="2"/>
      <x:c r="C48" s="2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4"/>
      <x:c r="AP48" s="4"/>
      <x:c r="AQ48" s="4"/>
      <x:c r="AR48" s="4"/>
      <x:c r="AS48" s="4"/>
      <x:c r="AT48" s="4"/>
      <x:c r="AU48" s="4"/>
      <x:c r="AV48" s="4"/>
      <x:c r="AW48" s="4"/>
      <x:c r="AX48" s="4"/>
      <x:c r="AY48" s="4"/>
      <x:c r="AZ48" s="4"/>
      <x:c r="BA48" s="4"/>
      <x:c r="BB48" s="4"/>
      <x:c r="BC48" s="4"/>
      <x:c r="BD48" s="4"/>
      <x:c r="BE48" s="4"/>
      <x:c r="BF48" s="4"/>
      <x:c r="BG48" s="4"/>
      <x:c r="BH48" s="4"/>
      <x:c r="BI48" s="4"/>
      <x:c r="BJ48" s="4"/>
      <x:c r="BK48" s="4"/>
      <x:c r="BL48" s="4"/>
      <x:c r="BM48" s="4"/>
      <x:c r="BN48" s="4"/>
      <x:c r="BO48" s="4"/>
      <x:c r="BP48" s="4"/>
      <x:c r="BQ48" s="4"/>
    </x:row>
    <x:row r="49" ht="23" customHeight="1">
      <x:c r="A49" s="2"/>
      <x:c r="B49" s="2"/>
      <x:c r="C49" s="2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4"/>
      <x:c r="AP49" s="4"/>
      <x:c r="AQ49" s="4"/>
      <x:c r="AR49" s="4"/>
      <x:c r="AS49" s="4"/>
      <x:c r="AT49" s="4"/>
      <x:c r="AU49" s="4"/>
      <x:c r="AV49" s="4"/>
      <x:c r="AW49" s="4"/>
      <x:c r="AX49" s="4"/>
      <x:c r="AY49" s="4"/>
      <x:c r="AZ49" s="4"/>
      <x:c r="BA49" s="4"/>
      <x:c r="BB49" s="4"/>
      <x:c r="BC49" s="4"/>
      <x:c r="BD49" s="4"/>
      <x:c r="BE49" s="4"/>
      <x:c r="BF49" s="4"/>
      <x:c r="BG49" s="4"/>
      <x:c r="BH49" s="4"/>
      <x:c r="BI49" s="4"/>
      <x:c r="BJ49" s="4"/>
      <x:c r="BK49" s="4"/>
      <x:c r="BL49" s="4"/>
      <x:c r="BM49" s="4"/>
      <x:c r="BN49" s="4"/>
      <x:c r="BO49" s="4"/>
      <x:c r="BP49" s="4"/>
      <x:c r="BQ49" s="4"/>
    </x:row>
    <x:row r="50" ht="23" customHeight="1">
      <x:c r="A50" s="2"/>
      <x:c r="B50" s="2"/>
      <x:c r="C50" s="2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  <x:c r="AF50" s="4"/>
      <x:c r="AG50" s="4"/>
      <x:c r="AH50" s="4"/>
      <x:c r="AI50" s="4"/>
      <x:c r="AJ50" s="4"/>
      <x:c r="AK50" s="4"/>
      <x:c r="AL50" s="4"/>
      <x:c r="AM50" s="4"/>
      <x:c r="AN50" s="4"/>
      <x:c r="AO50" s="4"/>
      <x:c r="AP50" s="4"/>
      <x:c r="AQ50" s="4"/>
      <x:c r="AR50" s="4"/>
      <x:c r="AS50" s="4"/>
      <x:c r="AT50" s="4"/>
      <x:c r="AU50" s="4"/>
      <x:c r="AV50" s="4"/>
      <x:c r="AW50" s="4"/>
      <x:c r="AX50" s="4"/>
      <x:c r="AY50" s="4"/>
      <x:c r="AZ50" s="4"/>
      <x:c r="BA50" s="4"/>
      <x:c r="BB50" s="4"/>
      <x:c r="BC50" s="4"/>
      <x:c r="BD50" s="4"/>
      <x:c r="BE50" s="4"/>
      <x:c r="BF50" s="4"/>
      <x:c r="BG50" s="4"/>
      <x:c r="BH50" s="4"/>
      <x:c r="BI50" s="4"/>
      <x:c r="BJ50" s="4"/>
      <x:c r="BK50" s="4"/>
      <x:c r="BL50" s="4"/>
      <x:c r="BM50" s="4"/>
      <x:c r="BN50" s="4"/>
      <x:c r="BO50" s="4"/>
      <x:c r="BP50" s="4"/>
      <x:c r="BQ50" s="4"/>
    </x:row>
    <x:row r="51" ht="23" customHeight="1">
      <x:c r="A51" s="2"/>
      <x:c r="B51" s="2"/>
      <x:c r="C51" s="2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  <x:c r="AJ51" s="4"/>
      <x:c r="AK51" s="4"/>
      <x:c r="AL51" s="4"/>
      <x:c r="AM51" s="4"/>
      <x:c r="AN51" s="4"/>
      <x:c r="AO51" s="4"/>
      <x:c r="AP51" s="4"/>
      <x:c r="AQ51" s="4"/>
      <x:c r="AR51" s="4"/>
      <x:c r="AS51" s="4"/>
      <x:c r="AT51" s="4"/>
      <x:c r="AU51" s="4"/>
      <x:c r="AV51" s="4"/>
      <x:c r="AW51" s="4"/>
      <x:c r="AX51" s="4"/>
      <x:c r="AY51" s="4"/>
      <x:c r="AZ51" s="4"/>
      <x:c r="BA51" s="4"/>
      <x:c r="BB51" s="4"/>
      <x:c r="BC51" s="4"/>
      <x:c r="BD51" s="4"/>
      <x:c r="BE51" s="4"/>
      <x:c r="BF51" s="4"/>
      <x:c r="BG51" s="4"/>
      <x:c r="BH51" s="4"/>
      <x:c r="BI51" s="4"/>
      <x:c r="BJ51" s="4"/>
      <x:c r="BK51" s="4"/>
      <x:c r="BL51" s="4"/>
      <x:c r="BM51" s="4"/>
      <x:c r="BN51" s="4"/>
      <x:c r="BO51" s="4"/>
      <x:c r="BP51" s="4"/>
      <x:c r="BQ51" s="4"/>
    </x:row>
    <x:row r="52" ht="23" customHeight="1">
      <x:c r="A52" s="2"/>
      <x:c r="B52" s="2"/>
      <x:c r="C52" s="2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  <x:c r="AF52" s="4"/>
      <x:c r="AG52" s="4"/>
      <x:c r="AH52" s="4"/>
      <x:c r="AI52" s="4"/>
      <x:c r="AJ52" s="4"/>
      <x:c r="AK52" s="4"/>
      <x:c r="AL52" s="4"/>
      <x:c r="AM52" s="4"/>
      <x:c r="AN52" s="4"/>
      <x:c r="AO52" s="4"/>
      <x:c r="AP52" s="4"/>
      <x:c r="AQ52" s="4"/>
      <x:c r="AR52" s="4"/>
      <x:c r="AS52" s="4"/>
      <x:c r="AT52" s="4"/>
      <x:c r="AU52" s="4"/>
      <x:c r="AV52" s="4"/>
      <x:c r="AW52" s="4"/>
      <x:c r="AX52" s="4"/>
      <x:c r="AY52" s="4"/>
      <x:c r="AZ52" s="4"/>
      <x:c r="BA52" s="4"/>
      <x:c r="BB52" s="4"/>
      <x:c r="BC52" s="4"/>
      <x:c r="BD52" s="4"/>
      <x:c r="BE52" s="4"/>
      <x:c r="BF52" s="4"/>
      <x:c r="BG52" s="4"/>
      <x:c r="BH52" s="4"/>
      <x:c r="BI52" s="4"/>
      <x:c r="BJ52" s="4"/>
      <x:c r="BK52" s="4"/>
      <x:c r="BL52" s="4"/>
      <x:c r="BM52" s="4"/>
      <x:c r="BN52" s="4"/>
      <x:c r="BO52" s="4"/>
      <x:c r="BP52" s="4"/>
      <x:c r="BQ52" s="4"/>
    </x:row>
    <x:row r="53" ht="23" customHeight="1">
      <x:c r="A53" s="2"/>
      <x:c r="B53" s="2"/>
      <x:c r="C53" s="2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  <x:c r="AF53" s="4"/>
      <x:c r="AG53" s="4"/>
      <x:c r="AH53" s="4"/>
      <x:c r="AI53" s="4"/>
      <x:c r="AJ53" s="4"/>
      <x:c r="AK53" s="4"/>
      <x:c r="AL53" s="4"/>
      <x:c r="AM53" s="4"/>
      <x:c r="AN53" s="4"/>
      <x:c r="AO53" s="4"/>
      <x:c r="AP53" s="4"/>
      <x:c r="AQ53" s="4"/>
      <x:c r="AR53" s="4"/>
      <x:c r="AS53" s="4"/>
      <x:c r="AT53" s="4"/>
      <x:c r="AU53" s="4"/>
      <x:c r="AV53" s="4"/>
      <x:c r="AW53" s="4"/>
      <x:c r="AX53" s="4"/>
      <x:c r="AY53" s="4"/>
      <x:c r="AZ53" s="4"/>
      <x:c r="BA53" s="4"/>
      <x:c r="BB53" s="4"/>
      <x:c r="BC53" s="4"/>
      <x:c r="BD53" s="4"/>
      <x:c r="BE53" s="4"/>
      <x:c r="BF53" s="4"/>
      <x:c r="BG53" s="4"/>
      <x:c r="BH53" s="4"/>
      <x:c r="BI53" s="4"/>
      <x:c r="BJ53" s="4"/>
      <x:c r="BK53" s="4"/>
      <x:c r="BL53" s="4"/>
      <x:c r="BM53" s="4"/>
      <x:c r="BN53" s="4"/>
      <x:c r="BO53" s="4"/>
      <x:c r="BP53" s="4"/>
      <x:c r="BQ53" s="4"/>
    </x:row>
    <x:row r="54" ht="23" customHeight="1">
      <x:c r="A54" s="2"/>
      <x:c r="B54" s="2"/>
      <x:c r="C54" s="2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  <x:c r="AG54" s="4"/>
      <x:c r="AH54" s="4"/>
      <x:c r="AI54" s="4"/>
      <x:c r="AJ54" s="4"/>
      <x:c r="AK54" s="4"/>
      <x:c r="AL54" s="4"/>
      <x:c r="AM54" s="4"/>
      <x:c r="AN54" s="4"/>
      <x:c r="AO54" s="4"/>
      <x:c r="AP54" s="4"/>
      <x:c r="AQ54" s="4"/>
      <x:c r="AR54" s="4"/>
      <x:c r="AS54" s="4"/>
      <x:c r="AT54" s="4"/>
      <x:c r="AU54" s="4"/>
      <x:c r="AV54" s="4"/>
      <x:c r="AW54" s="4"/>
      <x:c r="AX54" s="4"/>
      <x:c r="AY54" s="4"/>
      <x:c r="AZ54" s="4"/>
      <x:c r="BA54" s="4"/>
      <x:c r="BB54" s="4"/>
      <x:c r="BC54" s="4"/>
      <x:c r="BD54" s="4"/>
      <x:c r="BE54" s="4"/>
      <x:c r="BF54" s="4"/>
      <x:c r="BG54" s="4"/>
      <x:c r="BH54" s="4"/>
      <x:c r="BI54" s="4"/>
      <x:c r="BJ54" s="4"/>
      <x:c r="BK54" s="4"/>
      <x:c r="BL54" s="4"/>
      <x:c r="BM54" s="4"/>
      <x:c r="BN54" s="4"/>
      <x:c r="BO54" s="4"/>
      <x:c r="BP54" s="4"/>
      <x:c r="BQ54" s="4"/>
    </x:row>
    <x:row r="55" ht="23" customHeight="1">
      <x:c r="A55" s="2"/>
      <x:c r="B55" s="2"/>
      <x:c r="C55" s="2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  <x:c r="AF55" s="4"/>
      <x:c r="AG55" s="4"/>
      <x:c r="AH55" s="4"/>
      <x:c r="AI55" s="4"/>
      <x:c r="AJ55" s="4"/>
      <x:c r="AK55" s="4"/>
      <x:c r="AL55" s="4"/>
      <x:c r="AM55" s="4"/>
      <x:c r="AN55" s="4"/>
      <x:c r="AO55" s="4"/>
      <x:c r="AP55" s="4"/>
      <x:c r="AQ55" s="4"/>
      <x:c r="AR55" s="4"/>
      <x:c r="AS55" s="4"/>
      <x:c r="AT55" s="4"/>
      <x:c r="AU55" s="4"/>
      <x:c r="AV55" s="4"/>
      <x:c r="AW55" s="4"/>
      <x:c r="AX55" s="4"/>
      <x:c r="AY55" s="4"/>
      <x:c r="AZ55" s="4"/>
      <x:c r="BA55" s="4"/>
      <x:c r="BB55" s="4"/>
      <x:c r="BC55" s="4"/>
      <x:c r="BD55" s="4"/>
      <x:c r="BE55" s="4"/>
      <x:c r="BF55" s="4"/>
      <x:c r="BG55" s="4"/>
      <x:c r="BH55" s="4"/>
      <x:c r="BI55" s="4"/>
      <x:c r="BJ55" s="4"/>
      <x:c r="BK55" s="4"/>
      <x:c r="BL55" s="4"/>
      <x:c r="BM55" s="4"/>
      <x:c r="BN55" s="4"/>
      <x:c r="BO55" s="4"/>
      <x:c r="BP55" s="4"/>
      <x:c r="BQ55" s="4"/>
    </x:row>
    <x:row r="56" ht="23" customHeight="1">
      <x:c r="A56" s="2"/>
      <x:c r="B56" s="2"/>
      <x:c r="C56" s="2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  <x:c r="AG56" s="4"/>
      <x:c r="AH56" s="4"/>
      <x:c r="AI56" s="4"/>
      <x:c r="AJ56" s="4"/>
      <x:c r="AK56" s="4"/>
      <x:c r="AL56" s="4"/>
      <x:c r="AM56" s="4"/>
      <x:c r="AN56" s="4"/>
      <x:c r="AO56" s="4"/>
      <x:c r="AP56" s="4"/>
      <x:c r="AQ56" s="4"/>
      <x:c r="AR56" s="4"/>
      <x:c r="AS56" s="4"/>
      <x:c r="AT56" s="4"/>
      <x:c r="AU56" s="4"/>
      <x:c r="AV56" s="4"/>
      <x:c r="AW56" s="4"/>
      <x:c r="AX56" s="4"/>
      <x:c r="AY56" s="4"/>
      <x:c r="AZ56" s="4"/>
      <x:c r="BA56" s="4"/>
      <x:c r="BB56" s="4"/>
      <x:c r="BC56" s="4"/>
      <x:c r="BD56" s="4"/>
      <x:c r="BE56" s="4"/>
      <x:c r="BF56" s="4"/>
      <x:c r="BG56" s="4"/>
      <x:c r="BH56" s="4"/>
      <x:c r="BI56" s="4"/>
      <x:c r="BJ56" s="4"/>
      <x:c r="BK56" s="4"/>
      <x:c r="BL56" s="4"/>
      <x:c r="BM56" s="4"/>
      <x:c r="BN56" s="4"/>
      <x:c r="BO56" s="4"/>
      <x:c r="BP56" s="4"/>
      <x:c r="BQ56" s="4"/>
    </x:row>
    <x:row r="57" ht="23" customHeight="1">
      <x:c r="A57" s="2"/>
      <x:c r="B57" s="2"/>
      <x:c r="C57" s="2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  <x:c r="AJ57" s="4"/>
      <x:c r="AK57" s="4"/>
      <x:c r="AL57" s="4"/>
      <x:c r="AM57" s="4"/>
      <x:c r="AN57" s="4"/>
      <x:c r="AO57" s="4"/>
      <x:c r="AP57" s="4"/>
      <x:c r="AQ57" s="4"/>
      <x:c r="AR57" s="4"/>
      <x:c r="AS57" s="4"/>
      <x:c r="AT57" s="4"/>
      <x:c r="AU57" s="4"/>
      <x:c r="AV57" s="4"/>
      <x:c r="AW57" s="4"/>
      <x:c r="AX57" s="4"/>
      <x:c r="AY57" s="4"/>
      <x:c r="AZ57" s="4"/>
      <x:c r="BA57" s="4"/>
      <x:c r="BB57" s="4"/>
      <x:c r="BC57" s="4"/>
      <x:c r="BD57" s="4"/>
      <x:c r="BE57" s="4"/>
      <x:c r="BF57" s="4"/>
      <x:c r="BG57" s="4"/>
      <x:c r="BH57" s="4"/>
      <x:c r="BI57" s="4"/>
      <x:c r="BJ57" s="4"/>
      <x:c r="BK57" s="4"/>
      <x:c r="BL57" s="4"/>
      <x:c r="BM57" s="4"/>
      <x:c r="BN57" s="4"/>
      <x:c r="BO57" s="4"/>
      <x:c r="BP57" s="4"/>
      <x:c r="BQ57" s="4"/>
    </x:row>
    <x:row r="58" ht="23" customHeight="1">
      <x:c r="A58" s="2"/>
      <x:c r="B58" s="2"/>
      <x:c r="C58" s="2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  <x:c r="AH58" s="4"/>
      <x:c r="AI58" s="4"/>
      <x:c r="AJ58" s="4"/>
      <x:c r="AK58" s="4"/>
      <x:c r="AL58" s="4"/>
      <x:c r="AM58" s="4"/>
      <x:c r="AN58" s="4"/>
      <x:c r="AO58" s="4"/>
      <x:c r="AP58" s="4"/>
      <x:c r="AQ58" s="4"/>
      <x:c r="AR58" s="4"/>
      <x:c r="AS58" s="4"/>
      <x:c r="AT58" s="4"/>
      <x:c r="AU58" s="4"/>
      <x:c r="AV58" s="4"/>
      <x:c r="AW58" s="4"/>
      <x:c r="AX58" s="4"/>
      <x:c r="AY58" s="4"/>
      <x:c r="AZ58" s="4"/>
      <x:c r="BA58" s="4"/>
      <x:c r="BB58" s="4"/>
      <x:c r="BC58" s="4"/>
      <x:c r="BD58" s="4"/>
      <x:c r="BE58" s="4"/>
      <x:c r="BF58" s="4"/>
      <x:c r="BG58" s="4"/>
      <x:c r="BH58" s="4"/>
      <x:c r="BI58" s="4"/>
      <x:c r="BJ58" s="4"/>
      <x:c r="BK58" s="4"/>
      <x:c r="BL58" s="4"/>
      <x:c r="BM58" s="4"/>
      <x:c r="BN58" s="4"/>
      <x:c r="BO58" s="4"/>
      <x:c r="BP58" s="4"/>
      <x:c r="BQ58" s="4"/>
    </x:row>
    <x:row r="59" ht="23" customHeight="1">
      <x:c r="A59" s="2"/>
      <x:c r="B59" s="2"/>
      <x:c r="C59" s="2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  <x:c r="AG59" s="4"/>
      <x:c r="AH59" s="4"/>
      <x:c r="AI59" s="4"/>
      <x:c r="AJ59" s="4"/>
      <x:c r="AK59" s="4"/>
      <x:c r="AL59" s="4"/>
      <x:c r="AM59" s="4"/>
      <x:c r="AN59" s="4"/>
      <x:c r="AO59" s="4"/>
      <x:c r="AP59" s="4"/>
      <x:c r="AQ59" s="4"/>
      <x:c r="AR59" s="4"/>
      <x:c r="AS59" s="4"/>
      <x:c r="AT59" s="4"/>
      <x:c r="AU59" s="4"/>
      <x:c r="AV59" s="4"/>
      <x:c r="AW59" s="4"/>
      <x:c r="AX59" s="4"/>
      <x:c r="AY59" s="4"/>
      <x:c r="AZ59" s="4"/>
      <x:c r="BA59" s="4"/>
      <x:c r="BB59" s="4"/>
      <x:c r="BC59" s="4"/>
      <x:c r="BD59" s="4"/>
      <x:c r="BE59" s="4"/>
      <x:c r="BF59" s="4"/>
      <x:c r="BG59" s="4"/>
      <x:c r="BH59" s="4"/>
      <x:c r="BI59" s="4"/>
      <x:c r="BJ59" s="4"/>
      <x:c r="BK59" s="4"/>
      <x:c r="BL59" s="4"/>
      <x:c r="BM59" s="4"/>
      <x:c r="BN59" s="4"/>
      <x:c r="BO59" s="4"/>
      <x:c r="BP59" s="4"/>
      <x:c r="BQ59" s="4"/>
    </x:row>
    <x:row r="60" ht="23" customHeight="1">
      <x:c r="A60" s="2"/>
      <x:c r="B60" s="2"/>
      <x:c r="C60" s="2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4"/>
      <x:c r="AS60" s="4"/>
      <x:c r="AT60" s="4"/>
      <x:c r="AU60" s="4"/>
      <x:c r="AV60" s="4"/>
      <x:c r="AW60" s="4"/>
      <x:c r="AX60" s="4"/>
      <x:c r="AY60" s="4"/>
      <x:c r="AZ60" s="4"/>
      <x:c r="BA60" s="4"/>
      <x:c r="BB60" s="4"/>
      <x:c r="BC60" s="4"/>
      <x:c r="BD60" s="4"/>
      <x:c r="BE60" s="4"/>
      <x:c r="BF60" s="4"/>
      <x:c r="BG60" s="4"/>
      <x:c r="BH60" s="4"/>
      <x:c r="BI60" s="4"/>
      <x:c r="BJ60" s="4"/>
      <x:c r="BK60" s="4"/>
      <x:c r="BL60" s="4"/>
      <x:c r="BM60" s="4"/>
      <x:c r="BN60" s="4"/>
      <x:c r="BO60" s="4"/>
      <x:c r="BP60" s="4"/>
      <x:c r="BQ60" s="4"/>
    </x:row>
    <x:row r="61" ht="23" customHeight="1">
      <x:c r="A61" s="2"/>
      <x:c r="B61" s="2"/>
      <x:c r="C61" s="2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  <x:c r="AG61" s="4"/>
      <x:c r="AH61" s="4"/>
      <x:c r="AI61" s="4"/>
      <x:c r="AJ61" s="4"/>
      <x:c r="AK61" s="4"/>
      <x:c r="AL61" s="4"/>
      <x:c r="AM61" s="4"/>
      <x:c r="AN61" s="4"/>
      <x:c r="AO61" s="4"/>
      <x:c r="AP61" s="4"/>
      <x:c r="AQ61" s="4"/>
      <x:c r="AR61" s="4"/>
      <x:c r="AS61" s="4"/>
      <x:c r="AT61" s="4"/>
      <x:c r="AU61" s="4"/>
      <x:c r="AV61" s="4"/>
      <x:c r="AW61" s="4"/>
      <x:c r="AX61" s="4"/>
      <x:c r="AY61" s="4"/>
      <x:c r="AZ61" s="4"/>
      <x:c r="BA61" s="4"/>
      <x:c r="BB61" s="4"/>
      <x:c r="BC61" s="4"/>
      <x:c r="BD61" s="4"/>
      <x:c r="BE61" s="4"/>
      <x:c r="BF61" s="4"/>
      <x:c r="BG61" s="4"/>
      <x:c r="BH61" s="4"/>
      <x:c r="BI61" s="4"/>
      <x:c r="BJ61" s="4"/>
      <x:c r="BK61" s="4"/>
      <x:c r="BL61" s="4"/>
      <x:c r="BM61" s="4"/>
      <x:c r="BN61" s="4"/>
      <x:c r="BO61" s="4"/>
      <x:c r="BP61" s="4"/>
      <x:c r="BQ61" s="4"/>
    </x:row>
    <x:row r="62" ht="23" customHeight="1">
      <x:c r="A62" s="2"/>
      <x:c r="B62" s="2"/>
      <x:c r="C62" s="2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4"/>
      <x:c r="AS62" s="4"/>
      <x:c r="AT62" s="4"/>
      <x:c r="AU62" s="4"/>
      <x:c r="AV62" s="4"/>
      <x:c r="AW62" s="4"/>
      <x:c r="AX62" s="4"/>
      <x:c r="AY62" s="4"/>
      <x:c r="AZ62" s="4"/>
      <x:c r="BA62" s="4"/>
      <x:c r="BB62" s="4"/>
      <x:c r="BC62" s="4"/>
      <x:c r="BD62" s="4"/>
      <x:c r="BE62" s="4"/>
      <x:c r="BF62" s="4"/>
      <x:c r="BG62" s="4"/>
      <x:c r="BH62" s="4"/>
      <x:c r="BI62" s="4"/>
      <x:c r="BJ62" s="4"/>
      <x:c r="BK62" s="4"/>
      <x:c r="BL62" s="4"/>
      <x:c r="BM62" s="4"/>
      <x:c r="BN62" s="4"/>
      <x:c r="BO62" s="4"/>
      <x:c r="BP62" s="4"/>
      <x:c r="BQ62" s="4"/>
    </x:row>
    <x:row r="63" ht="23" customHeight="1">
      <x:c r="A63" s="2"/>
      <x:c r="B63" s="2"/>
      <x:c r="C63" s="2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4"/>
      <x:c r="AP63" s="4"/>
      <x:c r="AQ63" s="4"/>
      <x:c r="AR63" s="4"/>
      <x:c r="AS63" s="4"/>
      <x:c r="AT63" s="4"/>
      <x:c r="AU63" s="4"/>
      <x:c r="AV63" s="4"/>
      <x:c r="AW63" s="4"/>
      <x:c r="AX63" s="4"/>
      <x:c r="AY63" s="4"/>
      <x:c r="AZ63" s="4"/>
      <x:c r="BA63" s="4"/>
      <x:c r="BB63" s="4"/>
      <x:c r="BC63" s="4"/>
      <x:c r="BD63" s="4"/>
      <x:c r="BE63" s="4"/>
      <x:c r="BF63" s="4"/>
      <x:c r="BG63" s="4"/>
      <x:c r="BH63" s="4"/>
      <x:c r="BI63" s="4"/>
      <x:c r="BJ63" s="4"/>
      <x:c r="BK63" s="4"/>
      <x:c r="BL63" s="4"/>
      <x:c r="BM63" s="4"/>
      <x:c r="BN63" s="4"/>
      <x:c r="BO63" s="4"/>
      <x:c r="BP63" s="4"/>
      <x:c r="BQ63" s="4"/>
    </x:row>
    <x:row r="64" ht="23" customHeight="1">
      <x:c r="A64" s="2"/>
      <x:c r="B64" s="2"/>
      <x:c r="C64" s="2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  <x:c r="AF64" s="4"/>
      <x:c r="AG64" s="4"/>
      <x:c r="AH64" s="4"/>
      <x:c r="AI64" s="4"/>
      <x:c r="AJ64" s="4"/>
      <x:c r="AK64" s="4"/>
      <x:c r="AL64" s="4"/>
      <x:c r="AM64" s="4"/>
      <x:c r="AN64" s="4"/>
      <x:c r="AO64" s="4"/>
      <x:c r="AP64" s="4"/>
      <x:c r="AQ64" s="4"/>
      <x:c r="AR64" s="4"/>
      <x:c r="AS64" s="4"/>
      <x:c r="AT64" s="4"/>
      <x:c r="AU64" s="4"/>
      <x:c r="AV64" s="4"/>
      <x:c r="AW64" s="4"/>
      <x:c r="AX64" s="4"/>
      <x:c r="AY64" s="4"/>
      <x:c r="AZ64" s="4"/>
      <x:c r="BA64" s="4"/>
      <x:c r="BB64" s="4"/>
      <x:c r="BC64" s="4"/>
      <x:c r="BD64" s="4"/>
      <x:c r="BE64" s="4"/>
      <x:c r="BF64" s="4"/>
      <x:c r="BG64" s="4"/>
      <x:c r="BH64" s="4"/>
      <x:c r="BI64" s="4"/>
      <x:c r="BJ64" s="4"/>
      <x:c r="BK64" s="4"/>
      <x:c r="BL64" s="4"/>
      <x:c r="BM64" s="4"/>
      <x:c r="BN64" s="4"/>
      <x:c r="BO64" s="4"/>
      <x:c r="BP64" s="4"/>
      <x:c r="BQ64" s="4"/>
    </x:row>
    <x:row r="65" ht="23" customHeight="1">
      <x:c r="A65" s="2"/>
      <x:c r="B65" s="2"/>
      <x:c r="C65" s="2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  <x:c r="AF65" s="4"/>
      <x:c r="AG65" s="4"/>
      <x:c r="AH65" s="4"/>
      <x:c r="AI65" s="4"/>
      <x:c r="AJ65" s="4"/>
      <x:c r="AK65" s="4"/>
      <x:c r="AL65" s="4"/>
      <x:c r="AM65" s="4"/>
      <x:c r="AN65" s="4"/>
      <x:c r="AO65" s="4"/>
      <x:c r="AP65" s="4"/>
      <x:c r="AQ65" s="4"/>
      <x:c r="AR65" s="4"/>
      <x:c r="AS65" s="4"/>
      <x:c r="AT65" s="4"/>
      <x:c r="AU65" s="4"/>
      <x:c r="AV65" s="4"/>
      <x:c r="AW65" s="4"/>
      <x:c r="AX65" s="4"/>
      <x:c r="AY65" s="4"/>
      <x:c r="AZ65" s="4"/>
      <x:c r="BA65" s="4"/>
      <x:c r="BB65" s="4"/>
      <x:c r="BC65" s="4"/>
      <x:c r="BD65" s="4"/>
      <x:c r="BE65" s="4"/>
      <x:c r="BF65" s="4"/>
      <x:c r="BG65" s="4"/>
      <x:c r="BH65" s="4"/>
      <x:c r="BI65" s="4"/>
      <x:c r="BJ65" s="4"/>
      <x:c r="BK65" s="4"/>
      <x:c r="BL65" s="4"/>
      <x:c r="BM65" s="4"/>
      <x:c r="BN65" s="4"/>
      <x:c r="BO65" s="4"/>
      <x:c r="BP65" s="4"/>
      <x:c r="BQ65" s="4"/>
    </x:row>
    <x:row r="66" ht="23" customHeight="1">
      <x:c r="A66" s="2"/>
      <x:c r="B66" s="2"/>
      <x:c r="C66" s="2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  <x:c r="AG66" s="4"/>
      <x:c r="AH66" s="4"/>
      <x:c r="AI66" s="4"/>
      <x:c r="AJ66" s="4"/>
      <x:c r="AK66" s="4"/>
      <x:c r="AL66" s="4"/>
      <x:c r="AM66" s="4"/>
      <x:c r="AN66" s="4"/>
      <x:c r="AO66" s="4"/>
      <x:c r="AP66" s="4"/>
      <x:c r="AQ66" s="4"/>
      <x:c r="AR66" s="4"/>
      <x:c r="AS66" s="4"/>
      <x:c r="AT66" s="4"/>
      <x:c r="AU66" s="4"/>
      <x:c r="AV66" s="4"/>
      <x:c r="AW66" s="4"/>
      <x:c r="AX66" s="4"/>
      <x:c r="AY66" s="4"/>
      <x:c r="AZ66" s="4"/>
      <x:c r="BA66" s="4"/>
      <x:c r="BB66" s="4"/>
      <x:c r="BC66" s="4"/>
      <x:c r="BD66" s="4"/>
      <x:c r="BE66" s="4"/>
      <x:c r="BF66" s="4"/>
      <x:c r="BG66" s="4"/>
      <x:c r="BH66" s="4"/>
      <x:c r="BI66" s="4"/>
      <x:c r="BJ66" s="4"/>
      <x:c r="BK66" s="4"/>
      <x:c r="BL66" s="4"/>
      <x:c r="BM66" s="4"/>
      <x:c r="BN66" s="4"/>
      <x:c r="BO66" s="4"/>
      <x:c r="BP66" s="4"/>
      <x:c r="BQ66" s="4"/>
    </x:row>
    <x:row r="67" ht="23" customHeight="1">
      <x:c r="A67" s="2"/>
      <x:c r="B67" s="2"/>
      <x:c r="C67" s="2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  <x:c r="AG67" s="4"/>
      <x:c r="AH67" s="4"/>
      <x:c r="AI67" s="4"/>
      <x:c r="AJ67" s="4"/>
      <x:c r="AK67" s="4"/>
      <x:c r="AL67" s="4"/>
      <x:c r="AM67" s="4"/>
      <x:c r="AN67" s="4"/>
      <x:c r="AO67" s="4"/>
      <x:c r="AP67" s="4"/>
      <x:c r="AQ67" s="4"/>
      <x:c r="AR67" s="4"/>
      <x:c r="AS67" s="4"/>
      <x:c r="AT67" s="4"/>
      <x:c r="AU67" s="4"/>
      <x:c r="AV67" s="4"/>
      <x:c r="AW67" s="4"/>
      <x:c r="AX67" s="4"/>
      <x:c r="AY67" s="4"/>
      <x:c r="AZ67" s="4"/>
      <x:c r="BA67" s="4"/>
      <x:c r="BB67" s="4"/>
      <x:c r="BC67" s="4"/>
      <x:c r="BD67" s="4"/>
      <x:c r="BE67" s="4"/>
      <x:c r="BF67" s="4"/>
      <x:c r="BG67" s="4"/>
      <x:c r="BH67" s="4"/>
      <x:c r="BI67" s="4"/>
      <x:c r="BJ67" s="4"/>
      <x:c r="BK67" s="4"/>
      <x:c r="BL67" s="4"/>
      <x:c r="BM67" s="4"/>
      <x:c r="BN67" s="4"/>
      <x:c r="BO67" s="4"/>
      <x:c r="BP67" s="4"/>
      <x:c r="BQ67" s="4"/>
    </x:row>
    <x:row r="68" ht="23" customHeight="1">
      <x:c r="A68" s="2"/>
      <x:c r="B68" s="2"/>
      <x:c r="C68" s="2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4"/>
      <x:c r="AS68" s="4"/>
      <x:c r="AT68" s="4"/>
      <x:c r="AU68" s="4"/>
      <x:c r="AV68" s="4"/>
      <x:c r="AW68" s="4"/>
      <x:c r="AX68" s="4"/>
      <x:c r="AY68" s="4"/>
      <x:c r="AZ68" s="4"/>
      <x:c r="BA68" s="4"/>
      <x:c r="BB68" s="4"/>
      <x:c r="BC68" s="4"/>
      <x:c r="BD68" s="4"/>
      <x:c r="BE68" s="4"/>
      <x:c r="BF68" s="4"/>
      <x:c r="BG68" s="4"/>
      <x:c r="BH68" s="4"/>
      <x:c r="BI68" s="4"/>
      <x:c r="BJ68" s="4"/>
      <x:c r="BK68" s="4"/>
      <x:c r="BL68" s="4"/>
      <x:c r="BM68" s="4"/>
      <x:c r="BN68" s="4"/>
      <x:c r="BO68" s="4"/>
      <x:c r="BP68" s="4"/>
      <x:c r="BQ68" s="4"/>
    </x:row>
    <x:row r="69" ht="23" customHeight="1">
      <x:c r="A69" s="2"/>
      <x:c r="B69" s="2"/>
      <x:c r="C69" s="2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4"/>
      <x:c r="AP69" s="4"/>
      <x:c r="AQ69" s="4"/>
      <x:c r="AR69" s="4"/>
      <x:c r="AS69" s="4"/>
      <x:c r="AT69" s="4"/>
      <x:c r="AU69" s="4"/>
      <x:c r="AV69" s="4"/>
      <x:c r="AW69" s="4"/>
      <x:c r="AX69" s="4"/>
      <x:c r="AY69" s="4"/>
      <x:c r="AZ69" s="4"/>
      <x:c r="BA69" s="4"/>
      <x:c r="BB69" s="4"/>
      <x:c r="BC69" s="4"/>
      <x:c r="BD69" s="4"/>
      <x:c r="BE69" s="4"/>
      <x:c r="BF69" s="4"/>
      <x:c r="BG69" s="4"/>
      <x:c r="BH69" s="4"/>
      <x:c r="BI69" s="4"/>
      <x:c r="BJ69" s="4"/>
      <x:c r="BK69" s="4"/>
      <x:c r="BL69" s="4"/>
      <x:c r="BM69" s="4"/>
      <x:c r="BN69" s="4"/>
      <x:c r="BO69" s="4"/>
      <x:c r="BP69" s="4"/>
      <x:c r="BQ69" s="4"/>
    </x:row>
    <x:row r="70" ht="23" customHeight="1">
      <x:c r="A70" s="2"/>
      <x:c r="B70" s="2"/>
      <x:c r="C70" s="2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4"/>
      <x:c r="AS70" s="4"/>
      <x:c r="AT70" s="4"/>
      <x:c r="AU70" s="4"/>
      <x:c r="AV70" s="4"/>
      <x:c r="AW70" s="4"/>
      <x:c r="AX70" s="4"/>
      <x:c r="AY70" s="4"/>
      <x:c r="AZ70" s="4"/>
      <x:c r="BA70" s="4"/>
      <x:c r="BB70" s="4"/>
      <x:c r="BC70" s="4"/>
      <x:c r="BD70" s="4"/>
      <x:c r="BE70" s="4"/>
      <x:c r="BF70" s="4"/>
      <x:c r="BG70" s="4"/>
      <x:c r="BH70" s="4"/>
      <x:c r="BI70" s="4"/>
      <x:c r="BJ70" s="4"/>
      <x:c r="BK70" s="4"/>
      <x:c r="BL70" s="4"/>
      <x:c r="BM70" s="4"/>
      <x:c r="BN70" s="4"/>
      <x:c r="BO70" s="4"/>
      <x:c r="BP70" s="4"/>
      <x:c r="BQ70" s="4"/>
    </x:row>
    <x:row r="71" ht="23" customHeight="1">
      <x:c r="A71" s="2"/>
      <x:c r="B71" s="2"/>
      <x:c r="C71" s="2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  <x:c r="AG71" s="4"/>
      <x:c r="AH71" s="4"/>
      <x:c r="AI71" s="4"/>
      <x:c r="AJ71" s="4"/>
      <x:c r="AK71" s="4"/>
      <x:c r="AL71" s="4"/>
      <x:c r="AM71" s="4"/>
      <x:c r="AN71" s="4"/>
      <x:c r="AO71" s="4"/>
      <x:c r="AP71" s="4"/>
      <x:c r="AQ71" s="4"/>
      <x:c r="AR71" s="4"/>
      <x:c r="AS71" s="4"/>
      <x:c r="AT71" s="4"/>
      <x:c r="AU71" s="4"/>
      <x:c r="AV71" s="4"/>
      <x:c r="AW71" s="4"/>
      <x:c r="AX71" s="4"/>
      <x:c r="AY71" s="4"/>
      <x:c r="AZ71" s="4"/>
      <x:c r="BA71" s="4"/>
      <x:c r="BB71" s="4"/>
      <x:c r="BC71" s="4"/>
      <x:c r="BD71" s="4"/>
      <x:c r="BE71" s="4"/>
      <x:c r="BF71" s="4"/>
      <x:c r="BG71" s="4"/>
      <x:c r="BH71" s="4"/>
      <x:c r="BI71" s="4"/>
      <x:c r="BJ71" s="4"/>
      <x:c r="BK71" s="4"/>
      <x:c r="BL71" s="4"/>
      <x:c r="BM71" s="4"/>
      <x:c r="BN71" s="4"/>
      <x:c r="BO71" s="4"/>
      <x:c r="BP71" s="4"/>
      <x:c r="BQ71" s="4"/>
    </x:row>
    <x:row r="72" ht="23" customHeight="1">
      <x:c r="A72" s="2"/>
      <x:c r="B72" s="2"/>
      <x:c r="C72" s="2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4"/>
      <x:c r="AS72" s="4"/>
      <x:c r="AT72" s="4"/>
      <x:c r="AU72" s="4"/>
      <x:c r="AV72" s="4"/>
      <x:c r="AW72" s="4"/>
      <x:c r="AX72" s="4"/>
      <x:c r="AY72" s="4"/>
      <x:c r="AZ72" s="4"/>
      <x:c r="BA72" s="4"/>
      <x:c r="BB72" s="4"/>
      <x:c r="BC72" s="4"/>
      <x:c r="BD72" s="4"/>
      <x:c r="BE72" s="4"/>
      <x:c r="BF72" s="4"/>
      <x:c r="BG72" s="4"/>
      <x:c r="BH72" s="4"/>
      <x:c r="BI72" s="4"/>
      <x:c r="BJ72" s="4"/>
      <x:c r="BK72" s="4"/>
      <x:c r="BL72" s="4"/>
      <x:c r="BM72" s="4"/>
      <x:c r="BN72" s="4"/>
      <x:c r="BO72" s="4"/>
      <x:c r="BP72" s="4"/>
      <x:c r="BQ72" s="4"/>
    </x:row>
    <x:row r="73" ht="23" customHeight="1">
      <x:c r="A73" s="2"/>
      <x:c r="B73" s="2"/>
      <x:c r="C73" s="2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  <x:c r="AH73" s="4"/>
      <x:c r="AI73" s="4"/>
      <x:c r="AJ73" s="4"/>
      <x:c r="AK73" s="4"/>
      <x:c r="AL73" s="4"/>
      <x:c r="AM73" s="4"/>
      <x:c r="AN73" s="4"/>
      <x:c r="AO73" s="4"/>
      <x:c r="AP73" s="4"/>
      <x:c r="AQ73" s="4"/>
      <x:c r="AR73" s="4"/>
      <x:c r="AS73" s="4"/>
      <x:c r="AT73" s="4"/>
      <x:c r="AU73" s="4"/>
      <x:c r="AV73" s="4"/>
      <x:c r="AW73" s="4"/>
      <x:c r="AX73" s="4"/>
      <x:c r="AY73" s="4"/>
      <x:c r="AZ73" s="4"/>
      <x:c r="BA73" s="4"/>
      <x:c r="BB73" s="4"/>
      <x:c r="BC73" s="4"/>
      <x:c r="BD73" s="4"/>
      <x:c r="BE73" s="4"/>
      <x:c r="BF73" s="4"/>
      <x:c r="BG73" s="4"/>
      <x:c r="BH73" s="4"/>
      <x:c r="BI73" s="4"/>
      <x:c r="BJ73" s="4"/>
      <x:c r="BK73" s="4"/>
      <x:c r="BL73" s="4"/>
      <x:c r="BM73" s="4"/>
      <x:c r="BN73" s="4"/>
      <x:c r="BO73" s="4"/>
      <x:c r="BP73" s="4"/>
      <x:c r="BQ73" s="4"/>
    </x:row>
    <x:row r="74" ht="23" customHeight="1">
      <x:c r="A74" s="2"/>
      <x:c r="B74" s="2"/>
      <x:c r="C74" s="2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  <x:c r="AG74" s="4"/>
      <x:c r="AH74" s="4"/>
      <x:c r="AI74" s="4"/>
      <x:c r="AJ74" s="4"/>
      <x:c r="AK74" s="4"/>
      <x:c r="AL74" s="4"/>
      <x:c r="AM74" s="4"/>
      <x:c r="AN74" s="4"/>
      <x:c r="AO74" s="4"/>
      <x:c r="AP74" s="4"/>
      <x:c r="AQ74" s="4"/>
      <x:c r="AR74" s="4"/>
      <x:c r="AS74" s="4"/>
      <x:c r="AT74" s="4"/>
      <x:c r="AU74" s="4"/>
      <x:c r="AV74" s="4"/>
      <x:c r="AW74" s="4"/>
      <x:c r="AX74" s="4"/>
      <x:c r="AY74" s="4"/>
      <x:c r="AZ74" s="4"/>
      <x:c r="BA74" s="4"/>
      <x:c r="BB74" s="4"/>
      <x:c r="BC74" s="4"/>
      <x:c r="BD74" s="4"/>
      <x:c r="BE74" s="4"/>
      <x:c r="BF74" s="4"/>
      <x:c r="BG74" s="4"/>
      <x:c r="BH74" s="4"/>
      <x:c r="BI74" s="4"/>
      <x:c r="BJ74" s="4"/>
      <x:c r="BK74" s="4"/>
      <x:c r="BL74" s="4"/>
      <x:c r="BM74" s="4"/>
      <x:c r="BN74" s="4"/>
      <x:c r="BO74" s="4"/>
      <x:c r="BP74" s="4"/>
      <x:c r="BQ74" s="4"/>
    </x:row>
    <x:row r="75" ht="23" customHeight="1">
      <x:c r="A75" s="2"/>
      <x:c r="B75" s="2"/>
      <x:c r="C75" s="2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G75" s="4"/>
      <x:c r="AH75" s="4"/>
      <x:c r="AI75" s="4"/>
      <x:c r="AJ75" s="4"/>
      <x:c r="AK75" s="4"/>
      <x:c r="AL75" s="4"/>
      <x:c r="AM75" s="4"/>
      <x:c r="AN75" s="4"/>
      <x:c r="AO75" s="4"/>
      <x:c r="AP75" s="4"/>
      <x:c r="AQ75" s="4"/>
      <x:c r="AR75" s="4"/>
      <x:c r="AS75" s="4"/>
      <x:c r="AT75" s="4"/>
      <x:c r="AU75" s="4"/>
      <x:c r="AV75" s="4"/>
      <x:c r="AW75" s="4"/>
      <x:c r="AX75" s="4"/>
      <x:c r="AY75" s="4"/>
      <x:c r="AZ75" s="4"/>
      <x:c r="BA75" s="4"/>
      <x:c r="BB75" s="4"/>
      <x:c r="BC75" s="4"/>
      <x:c r="BD75" s="4"/>
      <x:c r="BE75" s="4"/>
      <x:c r="BF75" s="4"/>
      <x:c r="BG75" s="4"/>
      <x:c r="BH75" s="4"/>
      <x:c r="BI75" s="4"/>
      <x:c r="BJ75" s="4"/>
      <x:c r="BK75" s="4"/>
      <x:c r="BL75" s="4"/>
      <x:c r="BM75" s="4"/>
      <x:c r="BN75" s="4"/>
      <x:c r="BO75" s="4"/>
      <x:c r="BP75" s="4"/>
      <x:c r="BQ75" s="4"/>
    </x:row>
    <x:row r="76" ht="23" customHeight="1">
      <x:c r="A76" s="2"/>
      <x:c r="B76" s="2"/>
      <x:c r="C76" s="2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  <x:c r="AJ76" s="4"/>
      <x:c r="AK76" s="4"/>
      <x:c r="AL76" s="4"/>
      <x:c r="AM76" s="4"/>
      <x:c r="AN76" s="4"/>
      <x:c r="AO76" s="4"/>
      <x:c r="AP76" s="4"/>
      <x:c r="AQ76" s="4"/>
      <x:c r="AR76" s="4"/>
      <x:c r="AS76" s="4"/>
      <x:c r="AT76" s="4"/>
      <x:c r="AU76" s="4"/>
      <x:c r="AV76" s="4"/>
      <x:c r="AW76" s="4"/>
      <x:c r="AX76" s="4"/>
      <x:c r="AY76" s="4"/>
      <x:c r="AZ76" s="4"/>
      <x:c r="BA76" s="4"/>
      <x:c r="BB76" s="4"/>
      <x:c r="BC76" s="4"/>
      <x:c r="BD76" s="4"/>
      <x:c r="BE76" s="4"/>
      <x:c r="BF76" s="4"/>
      <x:c r="BG76" s="4"/>
      <x:c r="BH76" s="4"/>
      <x:c r="BI76" s="4"/>
      <x:c r="BJ76" s="4"/>
      <x:c r="BK76" s="4"/>
      <x:c r="BL76" s="4"/>
      <x:c r="BM76" s="4"/>
      <x:c r="BN76" s="4"/>
      <x:c r="BO76" s="4"/>
      <x:c r="BP76" s="4"/>
      <x:c r="BQ76" s="4"/>
    </x:row>
    <x:row r="77" ht="23" customHeight="1">
      <x:c r="A77" s="2"/>
      <x:c r="B77" s="2"/>
      <x:c r="C77" s="2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  <x:c r="AG77" s="4"/>
      <x:c r="AH77" s="4"/>
      <x:c r="AI77" s="4"/>
      <x:c r="AJ77" s="4"/>
      <x:c r="AK77" s="4"/>
      <x:c r="AL77" s="4"/>
      <x:c r="AM77" s="4"/>
      <x:c r="AN77" s="4"/>
      <x:c r="AO77" s="4"/>
      <x:c r="AP77" s="4"/>
      <x:c r="AQ77" s="4"/>
      <x:c r="AR77" s="4"/>
      <x:c r="AS77" s="4"/>
      <x:c r="AT77" s="4"/>
      <x:c r="AU77" s="4"/>
      <x:c r="AV77" s="4"/>
      <x:c r="AW77" s="4"/>
      <x:c r="AX77" s="4"/>
      <x:c r="AY77" s="4"/>
      <x:c r="AZ77" s="4"/>
      <x:c r="BA77" s="4"/>
      <x:c r="BB77" s="4"/>
      <x:c r="BC77" s="4"/>
      <x:c r="BD77" s="4"/>
      <x:c r="BE77" s="4"/>
      <x:c r="BF77" s="4"/>
      <x:c r="BG77" s="4"/>
      <x:c r="BH77" s="4"/>
      <x:c r="BI77" s="4"/>
      <x:c r="BJ77" s="4"/>
      <x:c r="BK77" s="4"/>
      <x:c r="BL77" s="4"/>
      <x:c r="BM77" s="4"/>
      <x:c r="BN77" s="4"/>
      <x:c r="BO77" s="4"/>
      <x:c r="BP77" s="4"/>
      <x:c r="BQ77" s="4"/>
    </x:row>
    <x:row r="78" ht="23" customHeight="1">
      <x:c r="A78" s="2"/>
      <x:c r="B78" s="2"/>
      <x:c r="C78" s="2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  <x:c r="AF78" s="4"/>
      <x:c r="AG78" s="4"/>
      <x:c r="AH78" s="4"/>
      <x:c r="AI78" s="4"/>
      <x:c r="AJ78" s="4"/>
      <x:c r="AK78" s="4"/>
      <x:c r="AL78" s="4"/>
      <x:c r="AM78" s="4"/>
      <x:c r="AN78" s="4"/>
      <x:c r="AO78" s="4"/>
      <x:c r="AP78" s="4"/>
      <x:c r="AQ78" s="4"/>
      <x:c r="AR78" s="4"/>
      <x:c r="AS78" s="4"/>
      <x:c r="AT78" s="4"/>
      <x:c r="AU78" s="4"/>
      <x:c r="AV78" s="4"/>
      <x:c r="AW78" s="4"/>
      <x:c r="AX78" s="4"/>
      <x:c r="AY78" s="4"/>
      <x:c r="AZ78" s="4"/>
      <x:c r="BA78" s="4"/>
      <x:c r="BB78" s="4"/>
      <x:c r="BC78" s="4"/>
      <x:c r="BD78" s="4"/>
      <x:c r="BE78" s="4"/>
      <x:c r="BF78" s="4"/>
      <x:c r="BG78" s="4"/>
      <x:c r="BH78" s="4"/>
      <x:c r="BI78" s="4"/>
      <x:c r="BJ78" s="4"/>
      <x:c r="BK78" s="4"/>
      <x:c r="BL78" s="4"/>
      <x:c r="BM78" s="4"/>
      <x:c r="BN78" s="4"/>
      <x:c r="BO78" s="4"/>
      <x:c r="BP78" s="4"/>
      <x:c r="BQ78" s="4"/>
    </x:row>
    <x:row r="79" ht="23" customHeight="1">
      <x:c r="A79" s="2"/>
      <x:c r="B79" s="2"/>
      <x:c r="C79" s="2"/>
      <x:c r="D79" s="4"/>
      <x:c r="E79" s="4"/>
      <x:c r="F79" s="4"/>
      <x:c r="G79" s="4"/>
      <x:c r="H79" s="4"/>
    </x:row>
    <x:row r="80" ht="23" customHeight="1">
      <x:c r="A80" s="2"/>
      <x:c r="B80" s="2"/>
      <x:c r="C80" s="2"/>
      <x:c r="D80" s="4"/>
      <x:c r="E80" s="4"/>
      <x:c r="F80" s="4"/>
      <x:c r="G80" s="4"/>
      <x:c r="H80" s="4"/>
    </x:row>
    <x:row r="81" ht="23" customHeight="1">
      <x:c r="A81" s="2"/>
      <x:c r="B81" s="2"/>
      <x:c r="C81" s="2"/>
      <x:c r="D81" s="4"/>
      <x:c r="E81" s="4"/>
      <x:c r="F81" s="4"/>
      <x:c r="G81" s="4"/>
      <x:c r="H81" s="4"/>
    </x:row>
    <x:row r="82" ht="23" customHeight="1">
      <x:c r="A82" s="2"/>
      <x:c r="B82" s="2"/>
      <x:c r="C82" s="2"/>
      <x:c r="D82" s="4"/>
      <x:c r="E82" s="4"/>
      <x:c r="F82" s="4"/>
      <x:c r="G82" s="4"/>
      <x:c r="H82" s="4"/>
    </x:row>
    <x:row r="83" ht="23" customHeight="1">
      <x:c r="A83" s="2"/>
      <x:c r="B83" s="2"/>
      <x:c r="C83" s="2"/>
      <x:c r="D83" s="4"/>
      <x:c r="E83" s="4"/>
      <x:c r="F83" s="4"/>
      <x:c r="G83" s="4"/>
      <x:c r="H83" s="4"/>
    </x:row>
    <x:row r="84" ht="23" customHeight="1">
      <x:c r="A84" s="2"/>
      <x:c r="B84" s="2"/>
      <x:c r="C84" s="2"/>
      <x:c r="D84" s="4"/>
      <x:c r="E84" s="4"/>
      <x:c r="F84" s="4"/>
      <x:c r="G84" s="4"/>
      <x:c r="H84" s="4"/>
    </x:row>
    <x:row r="85" ht="23" customHeight="1">
      <x:c r="A85" s="2"/>
      <x:c r="B85" s="2"/>
      <x:c r="C85" s="2"/>
      <x:c r="D85" s="4"/>
      <x:c r="E85" s="4"/>
      <x:c r="F85" s="4"/>
      <x:c r="G85" s="4"/>
      <x:c r="H85" s="4"/>
    </x:row>
    <x:row r="86" ht="23" customHeight="1">
      <x:c r="A86" s="2"/>
      <x:c r="B86" s="2"/>
      <x:c r="C86" s="2"/>
      <x:c r="D86" s="4"/>
      <x:c r="E86" s="4"/>
      <x:c r="F86" s="4"/>
      <x:c r="G86" s="4"/>
      <x:c r="H86" s="4"/>
    </x:row>
    <x:row r="87" ht="23" customHeight="1">
      <x:c r="A87" s="2"/>
      <x:c r="B87" s="2"/>
      <x:c r="C87" s="2"/>
      <x:c r="D87" s="4"/>
      <x:c r="E87" s="4"/>
      <x:c r="F87" s="4"/>
      <x:c r="G87" s="4"/>
      <x:c r="H87" s="4"/>
    </x:row>
    <x:row r="88" ht="23" customHeight="1">
      <x:c r="A88" s="2"/>
      <x:c r="B88" s="2"/>
      <x:c r="C88" s="2"/>
      <x:c r="D88" s="4"/>
      <x:c r="E88" s="4"/>
      <x:c r="F88" s="4"/>
      <x:c r="G88" s="4"/>
      <x:c r="H88" s="4"/>
    </x:row>
    <x:row r="89" ht="23" customHeight="1">
      <x:c r="A89" s="2"/>
      <x:c r="B89" s="2"/>
      <x:c r="C89" s="2"/>
      <x:c r="D89" s="4"/>
      <x:c r="E89" s="4"/>
      <x:c r="F89" s="4"/>
      <x:c r="G89" s="4"/>
      <x:c r="H89" s="4"/>
    </x:row>
    <x:row r="90" ht="23" customHeight="1">
      <x:c r="A90" s="2"/>
      <x:c r="B90" s="2"/>
      <x:c r="C90" s="2"/>
      <x:c r="D90" s="4"/>
      <x:c r="E90" s="4"/>
      <x:c r="F90" s="4"/>
      <x:c r="G90" s="4"/>
      <x:c r="H90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2" hidden="0" customWidth="1"/>
    <x:col min="4" max="4" width="3" hidden="0" customWidth="1"/>
    <x:col min="5" max="5" width="23" hidden="0" customWidth="1"/>
    <x:col min="6" max="6" width="23" hidden="0" customWidth="1"/>
    <x:col min="7" max="7" width="3" hidden="0" customWidth="1"/>
    <x:col min="8" max="8" width="74" hidden="0" customWidth="1"/>
    <x:col min="9" max="9" width="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1" customHeight="1">
      <x:c r="A2" s="2"/>
      <x:c r="B2" s="2"/>
      <x:c r="C2" s="6" t="str">
        <x:v>TAM, SAM and Year-5 target calculations</x:v>
      </x:c>
      <x:c r="D2" s="6"/>
      <x:c r="E2" s="6"/>
      <x:c r="F2" s="6"/>
      <x:c r="G2" s="6"/>
      <x:c r="H2" s="6"/>
      <x:c r="I2" s="6"/>
    </x:row>
    <x:row r="3" ht="22" customHeight="1">
      <x:c r="A3" s="2"/>
      <x:c r="B3" s="2"/>
      <x:c r="C3" s="10" t="str">
        <x:v>Annual revenue opportunity at deck prices. Broad proxies are not a validated serviceable customer list.</x:v>
      </x:c>
      <x:c r="D3" s="10"/>
      <x:c r="E3" s="10"/>
      <x:c r="F3" s="10"/>
      <x:c r="G3" s="10"/>
      <x:c r="H3" s="10"/>
      <x:c r="I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2"/>
      <x:c r="B5" s="2"/>
      <x:c r="C5" s="15" t="str">
        <x:v>Metric</x:v>
      </x:c>
      <x:c r="D5" s="2"/>
      <x:c r="E5" s="15" t="str">
        <x:v>Lower bound</x:v>
      </x:c>
      <x:c r="F5" s="15" t="str">
        <x:v>Upper bound</x:v>
      </x:c>
      <x:c r="G5" s="2"/>
      <x:c r="H5" s="8" t="str">
        <x:v>Method / interpretation</x:v>
      </x:c>
      <x:c r="I5" s="2"/>
    </x:row>
    <x:row r="6" ht="23" customHeight="1">
      <x:c r="A6" s="2"/>
      <x:c r="B6" s="2"/>
      <x:c r="C6" s="2"/>
      <x:c r="D6" s="4"/>
      <x:c r="E6" s="4"/>
      <x:c r="F6" s="4"/>
      <x:c r="G6" s="4"/>
      <x:c r="H6" s="9"/>
      <x:c r="I6" s="4"/>
    </x:row>
    <x:row r="7" ht="34" customHeight="1">
      <x:c r="A7" s="2"/>
      <x:c r="B7" s="2"/>
      <x:c r="C7" s="2" t="str">
        <x:v>Retail TAM population (people)</x:v>
      </x:c>
      <x:c r="D7" s="4"/>
      <x:c r="E7" s="39" t="n">
        <x:f>'Evidence'!E7</x:f>
        <x:v>10000000</x:v>
      </x:c>
      <x:c r="F7" s="39" t="n">
        <x:f>'Evidence'!E8</x:f>
        <x:v>15000000</x:v>
      </x:c>
      <x:c r="G7" s="4"/>
      <x:c r="H7" s="21" t="str">
        <x:v>10-15M people is an unverified deck estimate. Accounts are a different unit.</x:v>
      </x:c>
      <x:c r="I7" s="4"/>
    </x:row>
    <x:row r="8" ht="34" customHeight="1">
      <x:c r="A8" s="2"/>
      <x:c r="B8" s="2"/>
      <x:c r="C8" s="2" t="str">
        <x:v>Rounded retail revenue ($/year)</x:v>
      </x:c>
      <x:c r="D8" s="4"/>
      <x:c r="E8" s="97" t="n">
        <x:f>'Evidence'!E24</x:f>
        <x:v>660</x:v>
      </x:c>
      <x:c r="F8" s="97" t="n">
        <x:f>'Evidence'!E24</x:f>
        <x:v>660</x:v>
      </x:c>
      <x:c r="G8" s="4"/>
      <x:c r="H8" s="21" t="str">
        <x:v>The deck rounds the upper SAM revenue per account to $660.</x:v>
      </x:c>
      <x:c r="I8" s="4"/>
    </x:row>
    <x:row r="9" ht="25" customHeight="1">
      <x:c r="A9" s="2"/>
      <x:c r="B9" s="2"/>
      <x:c r="C9" s="84" t="str">
        <x:v>Retail TAM ($/year)</x:v>
      </x:c>
      <x:c r="D9" s="89"/>
      <x:c r="E9" s="85" t="n">
        <x:f>E7*E8</x:f>
        <x:v>6600000000</x:v>
      </x:c>
      <x:c r="F9" s="85" t="n">
        <x:f>F7*F8</x:f>
        <x:v>9900000000</x:v>
      </x:c>
      <x:c r="G9" s="4"/>
      <x:c r="H9" s="21" t="str">
        <x:v>Population x annual revenue assumption. Broad ceiling only.</x:v>
      </x:c>
      <x:c r="I9" s="4"/>
    </x:row>
    <x:row r="10" ht="34" customHeight="1">
      <x:c r="A10" s="2"/>
      <x:c r="B10" s="2"/>
      <x:c r="C10" s="2"/>
      <x:c r="D10" s="4"/>
      <x:c r="E10" s="4"/>
      <x:c r="F10" s="4"/>
      <x:c r="G10" s="4"/>
      <x:c r="H10" s="21"/>
      <x:c r="I10" s="4"/>
    </x:row>
    <x:row r="11" ht="34" customHeight="1">
      <x:c r="A11" s="2"/>
      <x:c r="B11" s="2"/>
      <x:c r="C11" s="2" t="str">
        <x:v>Measured CFD accounts</x:v>
      </x:c>
      <x:c r="D11" s="4"/>
      <x:c r="E11" s="39" t="n">
        <x:f>'Evidence'!E9</x:f>
        <x:v>6787000</x:v>
      </x:c>
      <x:c r="F11" s="39" t="n">
        <x:f>'Evidence'!E9</x:f>
        <x:v>6787000</x:v>
      </x:c>
      <x:c r="G11" s="4"/>
      <x:c r="H11" s="21" t="str">
        <x:v>Finance Magnates account count. No geography or eligibility filter supplied.</x:v>
      </x:c>
      <x:c r="I11" s="4"/>
    </x:row>
    <x:row r="12" ht="34" customHeight="1">
      <x:c r="A12" s="2"/>
      <x:c r="B12" s="2"/>
      <x:c r="C12" s="2" t="str">
        <x:v>Monthly app revenue per account</x:v>
      </x:c>
      <x:c r="D12" s="4"/>
      <x:c r="E12" s="97" t="n">
        <x:f>'Evidence'!E14</x:f>
        <x:v>25</x:v>
      </x:c>
      <x:c r="F12" s="97" t="n">
        <x:f>SUMPRODUCT('Evidence'!E14:E16,'Evidence'!E17:E19)</x:f>
        <x:v>44.85</x:v>
      </x:c>
      <x:c r="G12" s="4"/>
      <x:c r="H12" s="21" t="str">
        <x:v>Floor uses $25. Upper uses the 80% / 15% / 5% app tier mix.</x:v>
      </x:c>
      <x:c r="I12" s="4"/>
    </x:row>
    <x:row r="13" ht="34" customHeight="1">
      <x:c r="A13" s="2"/>
      <x:c r="B13" s="2"/>
      <x:c r="C13" s="2" t="str">
        <x:v>Annual app revenue per account</x:v>
      </x:c>
      <x:c r="D13" s="4"/>
      <x:c r="E13" s="98" t="n">
        <x:f>E12*12</x:f>
        <x:v>300</x:v>
      </x:c>
      <x:c r="F13" s="98" t="n">
        <x:f>F12*12</x:f>
        <x:v>538.2</x:v>
      </x:c>
      <x:c r="G13" s="4"/>
      <x:c r="H13" s="21"/>
      <x:c r="I13" s="4"/>
    </x:row>
    <x:row r="14" ht="34" customHeight="1">
      <x:c r="A14" s="2"/>
      <x:c r="B14" s="2"/>
      <x:c r="C14" s="2" t="str">
        <x:v>App SAM ($/year)</x:v>
      </x:c>
      <x:c r="D14" s="4"/>
      <x:c r="E14" s="79" t="n">
        <x:f>E11*E13</x:f>
        <x:v>2036100000</x:v>
      </x:c>
      <x:c r="F14" s="79" t="n">
        <x:f>F11*F13</x:f>
        <x:v>3652763400.0000005</x:v>
      </x:c>
      <x:c r="G14" s="4"/>
      <x:c r="H14" s="21"/>
      <x:c r="I14" s="4"/>
    </x:row>
    <x:row r="15" ht="34" customHeight="1">
      <x:c r="A15" s="2"/>
      <x:c r="B15" s="2"/>
      <x:c r="C15" s="59" t="str">
        <x:v>Strategy take-up assumption</x:v>
      </x:c>
      <x:c r="D15" s="94"/>
      <x:c r="E15" s="95" t="n">
        <x:f>0</x:f>
        <x:v>0</x:v>
      </x:c>
      <x:c r="F15" s="96" t="n">
        <x:f>'Evidence'!E20</x:f>
        <x:v>0.01</x:v>
      </x:c>
      <x:c r="G15" s="4"/>
      <x:c r="H15" s="21" t="str">
        <x:v>No strategy sales in lower bound; 1% adoption assumed in upper.</x:v>
      </x:c>
      <x:c r="I15" s="4"/>
    </x:row>
    <x:row r="16" ht="34" customHeight="1">
      <x:c r="A16" s="2"/>
      <x:c r="B16" s="2"/>
      <x:c r="C16" s="2" t="str">
        <x:v>Strategy price ($/month)</x:v>
      </x:c>
      <x:c r="D16" s="4"/>
      <x:c r="E16" s="97" t="n">
        <x:f>'Evidence'!E21</x:f>
        <x:v>1000</x:v>
      </x:c>
      <x:c r="F16" s="97" t="n">
        <x:f>'Evidence'!E21</x:f>
        <x:v>1000</x:v>
      </x:c>
      <x:c r="G16" s="4"/>
      <x:c r="H16" s="21"/>
      <x:c r="I16" s="4"/>
    </x:row>
    <x:row r="17" ht="34" customHeight="1">
      <x:c r="A17" s="2"/>
      <x:c r="B17" s="2"/>
      <x:c r="C17" s="2" t="str">
        <x:v>Strategy subscriptions in pool</x:v>
      </x:c>
      <x:c r="D17" s="4"/>
      <x:c r="E17" s="69" t="n">
        <x:f>E11*E15</x:f>
        <x:v>0</x:v>
      </x:c>
      <x:c r="F17" s="69" t="n">
        <x:f>F11*F15</x:f>
        <x:v>67870</x:v>
      </x:c>
      <x:c r="G17" s="4"/>
      <x:c r="H17" s="21"/>
      <x:c r="I17" s="4"/>
    </x:row>
    <x:row r="18" ht="34" customHeight="1">
      <x:c r="A18" s="2"/>
      <x:c r="B18" s="2"/>
      <x:c r="C18" s="2" t="str">
        <x:v>Strategy SAM ($/year)</x:v>
      </x:c>
      <x:c r="D18" s="4"/>
      <x:c r="E18" s="79" t="n">
        <x:f>E17*E16*12</x:f>
        <x:v>0</x:v>
      </x:c>
      <x:c r="F18" s="79" t="n">
        <x:f>F17*F16*12</x:f>
        <x:v>814440000</x:v>
      </x:c>
      <x:c r="G18" s="4"/>
      <x:c r="H18" s="21"/>
      <x:c r="I18" s="4"/>
    </x:row>
    <x:row r="19" ht="25" customHeight="1">
      <x:c r="A19" s="2"/>
      <x:c r="B19" s="2"/>
      <x:c r="C19" s="84" t="str">
        <x:v>Retail SAM: current deck method</x:v>
      </x:c>
      <x:c r="D19" s="89"/>
      <x:c r="E19" s="85" t="n">
        <x:f>SUM(E14,E18)</x:f>
        <x:v>2036100000</x:v>
      </x:c>
      <x:c r="F19" s="85" t="n">
        <x:f>SUM(F14,F18)</x:f>
        <x:v>4467203400</x:v>
      </x:c>
      <x:c r="G19" s="4"/>
      <x:c r="H19" s="21" t="str">
        <x:v>Reproduces existing research: all app accounts plus strategy add-on revenue.</x:v>
      </x:c>
      <x:c r="I19" s="4"/>
    </x:row>
    <x:row r="20" ht="34" customHeight="1">
      <x:c r="A20" s="2"/>
      <x:c r="B20" s="2"/>
      <x:c r="C20" s="2" t="str">
        <x:v>Bundled app revenue to remove</x:v>
      </x:c>
      <x:c r="D20" s="4"/>
      <x:c r="E20" s="86" t="n">
        <x:f>IF('Evidence'!E26=1,E17*E13,0)</x:f>
        <x:v>0</x:v>
      </x:c>
      <x:c r="F20" s="86" t="n">
        <x:f>IF('Evidence'!E26=1,F17*F13,0)</x:f>
        <x:v>36527634</x:v>
      </x:c>
      <x:c r="G20" s="4"/>
      <x:c r="H20" s="21" t="str">
        <x:v>Remove app fees on strategy accounts if app access is bundled.</x:v>
      </x:c>
      <x:c r="I20" s="4"/>
    </x:row>
    <x:row r="21" ht="25" customHeight="1">
      <x:c r="A21" s="2"/>
      <x:c r="B21" s="2"/>
      <x:c r="C21" s="84" t="str">
        <x:v>Retail SAM: bundle-adjusted</x:v>
      </x:c>
      <x:c r="D21" s="89"/>
      <x:c r="E21" s="85" t="n">
        <x:f>E19-E20</x:f>
        <x:v>2036100000</x:v>
      </x:c>
      <x:c r="F21" s="85" t="n">
        <x:f>F19-F20</x:f>
        <x:v>4430675766</x:v>
      </x:c>
      <x:c r="G21" s="4"/>
      <x:c r="H21" s="21" t="str">
        <x:v>Consistent with the plan convention that bundles are not billed twice.</x:v>
      </x:c>
      <x:c r="I21" s="4"/>
    </x:row>
    <x:row r="22" ht="34" customHeight="1">
      <x:c r="A22" s="2"/>
      <x:c r="B22" s="2"/>
      <x:c r="C22" s="2"/>
      <x:c r="D22" s="4"/>
      <x:c r="E22" s="4"/>
      <x:c r="F22" s="4"/>
      <x:c r="G22" s="4"/>
      <x:c r="H22" s="21"/>
      <x:c r="I22" s="4"/>
    </x:row>
    <x:row r="23" ht="34" customHeight="1">
      <x:c r="A23" s="2"/>
      <x:c r="B23" s="2"/>
      <x:c r="C23" s="2" t="str">
        <x:v>SMA assets ($)</x:v>
      </x:c>
      <x:c r="D23" s="4"/>
      <x:c r="E23" s="86" t="n">
        <x:f>'Evidence'!E10</x:f>
        <x:v>3860000000000</x:v>
      </x:c>
      <x:c r="F23" s="86" t="n">
        <x:f>'Evidence'!E10</x:f>
        <x:v>3860000000000</x:v>
      </x:c>
      <x:c r="G23" s="4"/>
      <x:c r="H23" s="21" t="str">
        <x:v>SMA assets cover many unrelated investment strategies.</x:v>
      </x:c>
      <x:c r="I23" s="4"/>
    </x:row>
    <x:row r="24" ht="34" customHeight="1">
      <x:c r="A24" s="2"/>
      <x:c r="B24" s="2"/>
      <x:c r="C24" s="59" t="str">
        <x:v>RIA annual fee</x:v>
      </x:c>
      <x:c r="D24" s="94"/>
      <x:c r="E24" s="96" t="n">
        <x:f>'Evidence'!E22</x:f>
        <x:v>0.004</x:v>
      </x:c>
      <x:c r="F24" s="96" t="n">
        <x:f>'Evidence'!E22</x:f>
        <x:v>0.004</x:v>
      </x:c>
      <x:c r="G24" s="4"/>
      <x:c r="H24" s="21"/>
      <x:c r="I24" s="4"/>
    </x:row>
    <x:row r="25" ht="25" customHeight="1">
      <x:c r="A25" s="2"/>
      <x:c r="B25" s="2"/>
      <x:c r="C25" s="84" t="str">
        <x:v>RIA TAM ($/year)</x:v>
      </x:c>
      <x:c r="D25" s="89"/>
      <x:c r="E25" s="85" t="n">
        <x:f>E23*E24</x:f>
        <x:v>15440000000</x:v>
      </x:c>
      <x:c r="F25" s="85" t="n">
        <x:f>F23*F24</x:f>
        <x:v>15440000000</x:v>
      </x:c>
      <x:c r="G25" s="4"/>
      <x:c r="H25" s="21"/>
      <x:c r="I25" s="4"/>
    </x:row>
    <x:row r="26" ht="34" customHeight="1">
      <x:c r="A26" s="2"/>
      <x:c r="B26" s="2"/>
      <x:c r="C26" s="2"/>
      <x:c r="D26" s="4"/>
      <x:c r="E26" s="4"/>
      <x:c r="F26" s="4"/>
      <x:c r="G26" s="4"/>
      <x:c r="H26" s="21"/>
      <x:c r="I26" s="4"/>
    </x:row>
    <x:row r="27" ht="34" customHeight="1">
      <x:c r="A27" s="2"/>
      <x:c r="B27" s="2"/>
      <x:c r="C27" s="2" t="str">
        <x:v>Third-party model assets ($)</x:v>
      </x:c>
      <x:c r="D27" s="4"/>
      <x:c r="E27" s="86" t="n">
        <x:f>'Evidence'!E11</x:f>
        <x:v>645000000000</x:v>
      </x:c>
      <x:c r="F27" s="86" t="n">
        <x:f>'Evidence'!E11</x:f>
        <x:v>645000000000</x:v>
      </x:c>
      <x:c r="G27" s="4"/>
      <x:c r="H27" s="21" t="str">
        <x:v>Model assets are a broad pool, not confirmed allocations to VibeTrader.</x:v>
      </x:c>
      <x:c r="I27" s="4"/>
    </x:row>
    <x:row r="28" ht="34" customHeight="1">
      <x:c r="A28" s="2"/>
      <x:c r="B28" s="2"/>
      <x:c r="C28" s="59" t="str">
        <x:v>RIA annual fee</x:v>
      </x:c>
      <x:c r="D28" s="94"/>
      <x:c r="E28" s="96" t="n">
        <x:f>'Evidence'!E22</x:f>
        <x:v>0.004</x:v>
      </x:c>
      <x:c r="F28" s="96" t="n">
        <x:f>'Evidence'!E22</x:f>
        <x:v>0.004</x:v>
      </x:c>
      <x:c r="G28" s="4"/>
      <x:c r="H28" s="21"/>
      <x:c r="I28" s="4"/>
    </x:row>
    <x:row r="29" ht="25" customHeight="1">
      <x:c r="A29" s="2"/>
      <x:c r="B29" s="2"/>
      <x:c r="C29" s="84" t="str">
        <x:v>RIA SAM proxy ($/year)</x:v>
      </x:c>
      <x:c r="D29" s="89"/>
      <x:c r="E29" s="85" t="n">
        <x:f>E27*E28</x:f>
        <x:v>2580000000</x:v>
      </x:c>
      <x:c r="F29" s="85" t="n">
        <x:f>F27*F28</x:f>
        <x:v>2580000000</x:v>
      </x:c>
      <x:c r="G29" s="4"/>
      <x:c r="H29" s="21"/>
      <x:c r="I29" s="4"/>
    </x:row>
    <x:row r="30" ht="34" customHeight="1">
      <x:c r="A30" s="2"/>
      <x:c r="B30" s="2"/>
      <x:c r="C30" s="2"/>
      <x:c r="D30" s="4"/>
      <x:c r="E30" s="4"/>
      <x:c r="F30" s="4"/>
      <x:c r="G30" s="4"/>
      <x:c r="H30" s="21"/>
      <x:c r="I30" s="4"/>
    </x:row>
    <x:row r="31" ht="34" customHeight="1">
      <x:c r="A31" s="2"/>
      <x:c r="B31" s="2"/>
      <x:c r="C31" s="2" t="str">
        <x:v>Broad treasury TAM ($/year)</x:v>
      </x:c>
      <x:c r="D31" s="4"/>
      <x:c r="E31" s="86" t="n">
        <x:f>'Evidence'!E12</x:f>
        <x:v>6600000000</x:v>
      </x:c>
      <x:c r="F31" s="86" t="n">
        <x:f>'Evidence'!E12</x:f>
        <x:v>6600000000</x:v>
      </x:c>
      <x:c r="G31" s="4"/>
      <x:c r="H31" s="21" t="str">
        <x:v>Treasury software/services market exceeds the actual FX-strategy offering.</x:v>
      </x:c>
      <x:c r="I31" s="4"/>
    </x:row>
    <x:row r="32" ht="34" customHeight="1">
      <x:c r="A32" s="2"/>
      <x:c r="B32" s="2"/>
      <x:c r="C32" s="2" t="str">
        <x:v>Companies in Kyriba sample</x:v>
      </x:c>
      <x:c r="D32" s="4"/>
      <x:c r="E32" s="39" t="n">
        <x:f>'Evidence'!E13</x:f>
        <x:v>1200</x:v>
      </x:c>
      <x:c r="F32" s="39" t="n">
        <x:f>'Evidence'!E13</x:f>
        <x:v>1200</x:v>
      </x:c>
      <x:c r="G32" s="4"/>
      <x:c r="H32" s="21" t="str">
        <x:v>Historical sample of large North American and European multinationals.</x:v>
      </x:c>
      <x:c r="I32" s="4"/>
    </x:row>
    <x:row r="33" ht="34" customHeight="1">
      <x:c r="A33" s="2"/>
      <x:c r="B33" s="2"/>
      <x:c r="C33" s="2" t="str">
        <x:v>Business annual contract ($)</x:v>
      </x:c>
      <x:c r="D33" s="4"/>
      <x:c r="E33" s="97" t="n">
        <x:f>'Evidence'!E23</x:f>
        <x:v>200000</x:v>
      </x:c>
      <x:c r="F33" s="97" t="n">
        <x:f>'Evidence'!E23</x:f>
        <x:v>200000</x:v>
      </x:c>
      <x:c r="G33" s="4"/>
      <x:c r="H33" s="21"/>
      <x:c r="I33" s="4"/>
    </x:row>
    <x:row r="34" ht="25" customHeight="1">
      <x:c r="A34" s="2"/>
      <x:c r="B34" s="2"/>
      <x:c r="C34" s="84" t="str">
        <x:v>Business SAM proxy ($/year)</x:v>
      </x:c>
      <x:c r="D34" s="89"/>
      <x:c r="E34" s="85" t="n">
        <x:f>E32*E33</x:f>
        <x:v>240000000</x:v>
      </x:c>
      <x:c r="F34" s="85" t="n">
        <x:f>F32*F33</x:f>
        <x:v>240000000</x:v>
      </x:c>
      <x:c r="G34" s="4"/>
      <x:c r="H34" s="21"/>
      <x:c r="I34" s="4"/>
    </x:row>
    <x:row r="35" ht="34" customHeight="1">
      <x:c r="A35" s="2"/>
      <x:c r="B35" s="2"/>
      <x:c r="C35" s="2"/>
      <x:c r="D35" s="4"/>
      <x:c r="E35" s="4"/>
      <x:c r="F35" s="4"/>
      <x:c r="G35" s="4"/>
      <x:c r="H35" s="21"/>
      <x:c r="I35" s="4"/>
    </x:row>
    <x:row r="36" ht="25" customHeight="1">
      <x:c r="A36" s="2"/>
      <x:c r="B36" s="2"/>
      <x:c r="C36" s="84" t="str">
        <x:v>Combined TAM: deck method</x:v>
      </x:c>
      <x:c r="D36" s="89"/>
      <x:c r="E36" s="85" t="n">
        <x:f>SUM(E9,E25,E31)</x:f>
        <x:v>28640000000</x:v>
      </x:c>
      <x:c r="F36" s="85" t="n">
        <x:f>SUM(F9,F25,F31)</x:f>
        <x:v>31940000000</x:v>
      </x:c>
      <x:c r="G36" s="4"/>
      <x:c r="H36" s="21" t="str">
        <x:v>Heterogeneous revenue proxies, not proof of additive attainable demand.</x:v>
      </x:c>
      <x:c r="I36" s="4"/>
    </x:row>
    <x:row r="37" ht="25" customHeight="1">
      <x:c r="A37" s="2"/>
      <x:c r="B37" s="2"/>
      <x:c r="C37" s="84" t="str">
        <x:v>Combined SAM: deck method</x:v>
      </x:c>
      <x:c r="D37" s="89"/>
      <x:c r="E37" s="85" t="n">
        <x:f>SUM(E19,E29,E34)</x:f>
        <x:v>4856100000</x:v>
      </x:c>
      <x:c r="F37" s="85" t="n">
        <x:f>SUM(F19,F29,F34)</x:f>
        <x:v>7287203400</x:v>
      </x:c>
      <x:c r="G37" s="4"/>
      <x:c r="H37" s="21" t="str">
        <x:v>RIA and corporate offerings are future products; not all serviceable today.</x:v>
      </x:c>
      <x:c r="I37" s="4"/>
    </x:row>
    <x:row r="38" ht="25" customHeight="1">
      <x:c r="A38" s="2"/>
      <x:c r="B38" s="2"/>
      <x:c r="C38" s="84" t="str">
        <x:v>Combined SAM: bundle-adjusted</x:v>
      </x:c>
      <x:c r="D38" s="89"/>
      <x:c r="E38" s="85" t="n">
        <x:f>SUM(E21,E29,E34)</x:f>
        <x:v>4856100000</x:v>
      </x:c>
      <x:c r="F38" s="85" t="n">
        <x:f>SUM(F21,F29,F34)</x:f>
        <x:v>7250675766</x:v>
      </x:c>
      <x:c r="G38" s="4"/>
      <x:c r="H38" s="21" t="str">
        <x:v>Bundle correction only. Eligibility and willingness-to-pay still unmeasured.</x:v>
      </x:c>
      <x:c r="I38" s="4"/>
    </x:row>
    <x:row r="39" ht="34" customHeight="1">
      <x:c r="A39" s="2"/>
      <x:c r="B39" s="2"/>
      <x:c r="C39" s="2"/>
      <x:c r="D39" s="4"/>
      <x:c r="E39" s="4"/>
      <x:c r="F39" s="4"/>
      <x:c r="G39" s="4"/>
      <x:c r="H39" s="21"/>
      <x:c r="I39" s="4"/>
    </x:row>
    <x:row r="40" ht="34" customHeight="1">
      <x:c r="A40" s="2"/>
      <x:c r="B40" s="2"/>
      <x:c r="C40" s="2" t="str">
        <x:v>Year-5 retail annualized target</x:v>
      </x:c>
      <x:c r="D40" s="4"/>
      <x:c r="E40" s="86" t="n">
        <x:f>SUM('Revenue model'!H18,'Revenue model'!H29)</x:f>
        <x:v>130800000</x:v>
      </x:c>
      <x:c r="F40" s="86" t="n">
        <x:f>SUM('Revenue model'!H18,'Revenue model'!H29)</x:f>
        <x:v>130800000</x:v>
      </x:c>
      <x:c r="G40" s="4"/>
      <x:c r="H40" s="21"/>
      <x:c r="I40" s="4"/>
    </x:row>
    <x:row r="41" ht="34" customHeight="1">
      <x:c r="A41" s="2"/>
      <x:c r="B41" s="2"/>
      <x:c r="C41" s="2" t="str">
        <x:v>Year-5 RIA annualized target</x:v>
      </x:c>
      <x:c r="D41" s="4"/>
      <x:c r="E41" s="86" t="n">
        <x:f>'Revenue model'!H37</x:f>
        <x:v>40000000</x:v>
      </x:c>
      <x:c r="F41" s="86" t="n">
        <x:f>'Revenue model'!H37</x:f>
        <x:v>40000000</x:v>
      </x:c>
      <x:c r="G41" s="4"/>
      <x:c r="H41" s="21"/>
      <x:c r="I41" s="4"/>
    </x:row>
    <x:row r="42" ht="34" customHeight="1">
      <x:c r="A42" s="2"/>
      <x:c r="B42" s="2"/>
      <x:c r="C42" s="2" t="str">
        <x:v>Year-5 business annualized target</x:v>
      </x:c>
      <x:c r="D42" s="4"/>
      <x:c r="E42" s="86" t="n">
        <x:f>'Revenue model'!H45</x:f>
        <x:v>16000000</x:v>
      </x:c>
      <x:c r="F42" s="86" t="n">
        <x:f>'Revenue model'!H45</x:f>
        <x:v>16000000</x:v>
      </x:c>
      <x:c r="G42" s="4"/>
      <x:c r="H42" s="21"/>
      <x:c r="I42" s="4"/>
    </x:row>
    <x:row r="43" ht="25" customHeight="1">
      <x:c r="A43" s="2"/>
      <x:c r="B43" s="2"/>
      <x:c r="C43" s="84" t="str">
        <x:v>Year-5 total annualized target</x:v>
      </x:c>
      <x:c r="D43" s="89"/>
      <x:c r="E43" s="85" t="n">
        <x:f>SUM(E40:E42)</x:f>
        <x:v>186800000</x:v>
      </x:c>
      <x:c r="F43" s="85" t="n">
        <x:f>SUM(F40:F42)</x:f>
        <x:v>186800000</x:v>
      </x:c>
      <x:c r="G43" s="4"/>
      <x:c r="H43" s="21" t="str">
        <x:v>Same formula-driven Year-5 target as Financials. No independent SOM evidence.</x:v>
      </x:c>
      <x:c r="I43" s="4"/>
    </x:row>
    <x:row r="44" ht="34" customHeight="1">
      <x:c r="A44" s="2"/>
      <x:c r="B44" s="2"/>
      <x:c r="C44" s="59" t="str">
        <x:v>Year-5 total / combined SAM</x:v>
      </x:c>
      <x:c r="D44" s="94"/>
      <x:c r="E44" s="95" t="n">
        <x:f>E43/E37</x:f>
        <x:v>0.03846708263833117</x:v>
      </x:c>
      <x:c r="F44" s="95" t="n">
        <x:f>F43/F37</x:f>
        <x:v>0.025633976403073914</x:v>
      </x:c>
      <x:c r="G44" s="4"/>
      <x:c r="H44" s="21" t="str">
        <x:v>A small combined share can hide much higher penetration within one product.</x:v>
      </x:c>
      <x:c r="I44" s="4"/>
    </x:row>
    <x:row r="45" ht="34" customHeight="1">
      <x:c r="A45" s="2"/>
      <x:c r="B45" s="2"/>
      <x:c r="C45" s="59" t="str">
        <x:v>Retail target / retail SAM</x:v>
      </x:c>
      <x:c r="D45" s="94"/>
      <x:c r="E45" s="95" t="n">
        <x:f>E40/E19</x:f>
        <x:v>0.06424045970237219</x:v>
      </x:c>
      <x:c r="F45" s="95" t="n">
        <x:f>F40/F19</x:f>
        <x:v>0.029280063674736637</x:v>
      </x:c>
      <x:c r="G45" s="4"/>
      <x:c r="H45" s="21"/>
      <x:c r="I45" s="4"/>
    </x:row>
    <x:row r="46" ht="34" customHeight="1">
      <x:c r="A46" s="2"/>
      <x:c r="B46" s="2"/>
      <x:c r="C46" s="59" t="str">
        <x:v>RIA assets / model assets</x:v>
      </x:c>
      <x:c r="D46" s="94"/>
      <x:c r="E46" s="96" t="n">
        <x:f>'Revenue model'!H33/E27</x:f>
        <x:v>0.015503875968992248</x:v>
      </x:c>
      <x:c r="F46" s="96" t="n">
        <x:f>'Revenue model'!H33/F27</x:f>
        <x:v>0.015503875968992248</x:v>
      </x:c>
      <x:c r="G46" s="4"/>
      <x:c r="H46" s="21"/>
      <x:c r="I46" s="4"/>
    </x:row>
    <x:row r="47" ht="34" customHeight="1">
      <x:c r="A47" s="2"/>
      <x:c r="B47" s="2"/>
      <x:c r="C47" s="59" t="str">
        <x:v>Business clients / sampled firms</x:v>
      </x:c>
      <x:c r="D47" s="94"/>
      <x:c r="E47" s="96" t="n">
        <x:f>'Revenue model'!H41/E32</x:f>
        <x:v>0.06666666666666667</x:v>
      </x:c>
      <x:c r="F47" s="96" t="n">
        <x:f>'Revenue model'!H41/F32</x:f>
        <x:v>0.06666666666666667</x:v>
      </x:c>
      <x:c r="G47" s="4"/>
      <x:c r="H47" s="21"/>
      <x:c r="I47" s="4"/>
    </x:row>
    <x:row r="48" ht="34" customHeight="1">
      <x:c r="A48" s="2"/>
      <x:c r="B48" s="2"/>
      <x:c r="C48" s="59" t="str">
        <x:v>Strategy target / SAM strategy pool</x:v>
      </x:c>
      <x:c r="D48" s="94"/>
      <x:c r="E48" s="96" t="str">
        <x:f>IF(E17=0,"n.a.",'Revenue model'!H25/E17)</x:f>
        <x:v>n.a.</x:v>
      </x:c>
      <x:c r="F48" s="96" t="n">
        <x:f>IF(F17=0,"n.a.",'Revenue model'!H25/F17)</x:f>
        <x:v>0.14734050390452336</x:v>
      </x:c>
      <x:c r="G48" s="4"/>
      <x:c r="H48" s="21" t="str">
        <x:v>10,000 strategy subscriptions versus the assumed 1% subscriber pool.</x:v>
      </x:c>
      <x:c r="I48" s="4"/>
    </x:row>
    <x:row r="49" ht="34" customHeight="1">
      <x:c r="A49" s="2"/>
      <x:c r="B49" s="2"/>
      <x:c r="C49" s="2" t="str">
        <x:v>Year-5 retail revenue per subscription</x:v>
      </x:c>
      <x:c r="D49" s="4"/>
      <x:c r="E49" s="97" t="n">
        <x:f>SUM('Revenue model'!H18,'Revenue model'!H29)/'Revenue model'!H49</x:f>
        <x:v>4360</x:v>
      </x:c>
      <x:c r="F49" s="97" t="n">
        <x:f>SUM('Revenue model'!H18,'Revenue model'!H29)/'Revenue model'!H49</x:f>
        <x:v>4360</x:v>
      </x:c>
      <x:c r="G49" s="4"/>
      <x:c r="H49" s="21" t="str">
        <x:v>Compare with $660 market ARPA: the target relies on a premium-heavy mix.</x:v>
      </x:c>
      <x:c r="I49" s="4"/>
    </x:row>
    <x:row r="50" ht="23" customHeight="1">
      <x:c r="A50" s="2"/>
      <x:c r="B50" s="2"/>
      <x:c r="C50" s="2"/>
      <x:c r="D50" s="4"/>
      <x:c r="E50" s="4"/>
      <x:c r="F50" s="4"/>
      <x:c r="G50" s="4"/>
      <x:c r="H50" s="4"/>
      <x:c r="I50" s="4"/>
    </x:row>
    <x:row r="51" ht="23" customHeight="1">
      <x:c r="A51" s="2"/>
      <x:c r="B51" s="2"/>
      <x:c r="C51" s="2"/>
      <x:c r="D51" s="4"/>
      <x:c r="E51" s="4"/>
      <x:c r="F51" s="4"/>
      <x:c r="G51" s="4"/>
      <x:c r="H51" s="4"/>
      <x:c r="I51" s="4"/>
    </x:row>
    <x:row r="52" ht="23" customHeight="1">
      <x:c r="A52" s="2"/>
      <x:c r="B52" s="2"/>
      <x:c r="C52" s="2"/>
      <x:c r="D52" s="4"/>
      <x:c r="E52" s="4"/>
      <x:c r="F52" s="4"/>
      <x:c r="G52" s="4"/>
      <x:c r="H52" s="4"/>
      <x:c r="I52" s="4"/>
    </x:row>
    <x:row r="53" ht="23" customHeight="1">
      <x:c r="A53" s="2"/>
      <x:c r="B53" s="2"/>
      <x:c r="C53" s="2"/>
      <x:c r="D53" s="4"/>
      <x:c r="E53" s="4"/>
      <x:c r="F53" s="4"/>
      <x:c r="G53" s="4"/>
      <x:c r="H53" s="4"/>
      <x:c r="I53" s="4"/>
    </x:row>
    <x:row r="54" ht="23" customHeight="1">
      <x:c r="A54" s="2"/>
      <x:c r="B54" s="2"/>
      <x:c r="C54" s="2"/>
      <x:c r="D54" s="4"/>
      <x:c r="E54" s="4"/>
      <x:c r="F54" s="4"/>
      <x:c r="G54" s="4"/>
      <x:c r="H54" s="4"/>
      <x:c r="I54" s="4"/>
    </x:row>
    <x:row r="55" ht="23" customHeight="1">
      <x:c r="A55" s="2"/>
      <x:c r="B55" s="2"/>
      <x:c r="C55" s="2"/>
      <x:c r="D55" s="4"/>
      <x:c r="E55" s="4"/>
      <x:c r="F55" s="4"/>
      <x:c r="G55" s="4"/>
      <x:c r="H55" s="4"/>
      <x:c r="I55" s="4"/>
    </x:row>
    <x:row r="56" ht="23" customHeight="1">
      <x:c r="A56" s="2"/>
      <x:c r="B56" s="2"/>
      <x:c r="C56" s="2"/>
      <x:c r="D56" s="4"/>
      <x:c r="E56" s="4"/>
      <x:c r="F56" s="4"/>
      <x:c r="G56" s="4"/>
      <x:c r="H56" s="4"/>
      <x:c r="I56" s="4"/>
    </x:row>
    <x:row r="57" ht="23" customHeight="1">
      <x:c r="A57" s="2"/>
      <x:c r="B57" s="2"/>
      <x:c r="C57" s="2"/>
      <x:c r="D57" s="4"/>
      <x:c r="E57" s="4"/>
      <x:c r="F57" s="4"/>
      <x:c r="G57" s="4"/>
      <x:c r="H57" s="4"/>
      <x:c r="I57" s="4"/>
    </x:row>
    <x:row r="58" ht="23" customHeight="1">
      <x:c r="A58" s="2"/>
      <x:c r="B58" s="2"/>
      <x:c r="C58" s="2"/>
      <x:c r="D58" s="4"/>
      <x:c r="E58" s="4"/>
      <x:c r="F58" s="4"/>
      <x:c r="G58" s="4"/>
      <x:c r="H58" s="4"/>
      <x:c r="I58" s="4"/>
    </x:row>
    <x:row r="59" ht="23" customHeight="1">
      <x:c r="A59" s="2"/>
      <x:c r="B59" s="2"/>
      <x:c r="C59" s="2"/>
      <x:c r="D59" s="4"/>
      <x:c r="E59" s="4"/>
      <x:c r="F59" s="4"/>
      <x:c r="G59" s="4"/>
      <x:c r="H59" s="4"/>
      <x:c r="I59" s="4"/>
    </x:row>
    <x:row r="60" ht="23" customHeight="1">
      <x:c r="A60" s="2"/>
      <x:c r="B60" s="2"/>
      <x:c r="C60" s="2"/>
      <x:c r="D60" s="4"/>
      <x:c r="E60" s="4"/>
      <x:c r="F60" s="4"/>
      <x:c r="G60" s="4"/>
      <x:c r="H60" s="4"/>
      <x:c r="I60" s="4"/>
    </x:row>
    <x:row r="61" ht="23" customHeight="1">
      <x:c r="A61" s="2"/>
      <x:c r="B61" s="2"/>
      <x:c r="C61" s="2"/>
      <x:c r="D61" s="4"/>
      <x:c r="E61" s="4"/>
      <x:c r="F61" s="4"/>
      <x:c r="G61" s="4"/>
      <x:c r="H61" s="4"/>
    </x:row>
    <x:row r="62" ht="23" customHeight="1">
      <x:c r="A62" s="2"/>
      <x:c r="B62" s="2"/>
      <x:c r="C62" s="2"/>
      <x:c r="D62" s="4"/>
      <x:c r="E62" s="4"/>
      <x:c r="F62" s="4"/>
      <x:c r="G62" s="4"/>
      <x:c r="H62" s="4"/>
    </x:row>
    <x:row r="63" ht="23" customHeight="1">
      <x:c r="A63" s="2"/>
      <x:c r="B63" s="2"/>
      <x:c r="C63" s="2"/>
      <x:c r="D63" s="4"/>
      <x:c r="E63" s="4"/>
      <x:c r="F63" s="4"/>
      <x:c r="G63" s="4"/>
      <x:c r="H63" s="4"/>
    </x:row>
    <x:row r="64" ht="23" customHeight="1">
      <x:c r="A64" s="2"/>
      <x:c r="B64" s="2"/>
      <x:c r="C64" s="2"/>
      <x:c r="D64" s="4"/>
      <x:c r="E64" s="4"/>
      <x:c r="F64" s="4"/>
      <x:c r="G64" s="4"/>
      <x:c r="H64" s="4"/>
    </x:row>
    <x:row r="65" ht="23" customHeight="1">
      <x:c r="A65" s="2"/>
      <x:c r="B65" s="2"/>
      <x:c r="C65" s="2"/>
      <x:c r="D65" s="4"/>
      <x:c r="E65" s="4"/>
      <x:c r="F65" s="4"/>
      <x:c r="G65" s="4"/>
      <x:c r="H65" s="4"/>
    </x:row>
    <x:row r="66" ht="23" customHeight="1">
      <x:c r="A66" s="2"/>
      <x:c r="B66" s="2"/>
      <x:c r="C66" s="2"/>
      <x:c r="D66" s="4"/>
      <x:c r="E66" s="4"/>
      <x:c r="F66" s="4"/>
      <x:c r="G66" s="4"/>
      <x:c r="H66" s="4"/>
    </x:row>
    <x:row r="67" ht="23" customHeight="1">
      <x:c r="A67" s="2"/>
      <x:c r="B67" s="2"/>
      <x:c r="C67" s="2"/>
      <x:c r="D67" s="4"/>
      <x:c r="E67" s="4"/>
      <x:c r="F67" s="4"/>
      <x:c r="G67" s="4"/>
      <x:c r="H67" s="4"/>
    </x:row>
    <x:row r="68" ht="23" customHeight="1">
      <x:c r="A68" s="2"/>
      <x:c r="B68" s="2"/>
      <x:c r="C68" s="2"/>
      <x:c r="D68" s="4"/>
      <x:c r="E68" s="4"/>
      <x:c r="F68" s="4"/>
      <x:c r="G68" s="4"/>
      <x:c r="H68" s="4"/>
    </x:row>
    <x:row r="69" ht="23" customHeight="1">
      <x:c r="A69" s="2"/>
      <x:c r="B69" s="2"/>
      <x:c r="C69" s="2"/>
      <x:c r="D69" s="4"/>
      <x:c r="E69" s="4"/>
      <x:c r="F69" s="4"/>
      <x:c r="G69" s="4"/>
      <x:c r="H69" s="4"/>
    </x:row>
    <x:row r="70" ht="23" customHeight="1">
      <x:c r="A70" s="2"/>
      <x:c r="B70" s="2"/>
      <x:c r="C70" s="2"/>
      <x:c r="D70" s="4"/>
      <x:c r="E70" s="4"/>
      <x:c r="F70" s="4"/>
      <x:c r="G70" s="4"/>
      <x:c r="H70" s="4"/>
    </x:row>
    <x:row r="71" ht="23" customHeight="1">
      <x:c r="A71" s="2"/>
      <x:c r="B71" s="2"/>
      <x:c r="C71" s="2"/>
      <x:c r="D71" s="4"/>
      <x:c r="E71" s="4"/>
      <x:c r="F71" s="4"/>
      <x:c r="G71" s="4"/>
      <x:c r="H71" s="4"/>
    </x:row>
    <x:row r="72" ht="23" customHeight="1">
      <x:c r="A72" s="2"/>
      <x:c r="B72" s="2"/>
      <x:c r="C72" s="2"/>
      <x:c r="D72" s="4"/>
      <x:c r="E72" s="4"/>
      <x:c r="F72" s="4"/>
      <x:c r="G72" s="4"/>
      <x:c r="H72" s="4"/>
    </x:row>
    <x:row r="73" ht="23" customHeight="1">
      <x:c r="A73" s="2"/>
      <x:c r="B73" s="2"/>
      <x:c r="C73" s="2"/>
      <x:c r="D73" s="4"/>
      <x:c r="E73" s="4"/>
      <x:c r="F73" s="4"/>
      <x:c r="G73" s="4"/>
      <x:c r="H73" s="4"/>
    </x:row>
    <x:row r="74" ht="23" customHeight="1">
      <x:c r="A74" s="2"/>
      <x:c r="B74" s="2"/>
      <x:c r="C74" s="2"/>
      <x:c r="D74" s="4"/>
      <x:c r="E74" s="4"/>
      <x:c r="F74" s="4"/>
      <x:c r="G74" s="4"/>
      <x:c r="H74" s="4"/>
    </x:row>
    <x:row r="75" ht="23" customHeight="1">
      <x:c r="A75" s="2"/>
      <x:c r="B75" s="2"/>
      <x:c r="C75" s="2"/>
      <x:c r="D75" s="4"/>
      <x:c r="E75" s="4"/>
      <x:c r="F75" s="4"/>
      <x:c r="G75" s="4"/>
      <x:c r="H75" s="4"/>
    </x:row>
    <x:row r="76" ht="23" customHeight="1">
      <x:c r="A76" s="2"/>
      <x:c r="B76" s="2"/>
      <x:c r="C76" s="2"/>
      <x:c r="D76" s="4"/>
      <x:c r="E76" s="4"/>
      <x:c r="F76" s="4"/>
      <x:c r="G76" s="4"/>
      <x:c r="H76" s="4"/>
    </x:row>
    <x:row r="77" ht="23" customHeight="1">
      <x:c r="A77" s="2"/>
      <x:c r="B77" s="2"/>
      <x:c r="C77" s="2"/>
      <x:c r="D77" s="4"/>
      <x:c r="E77" s="4"/>
      <x:c r="F77" s="4"/>
      <x:c r="G77" s="4"/>
      <x:c r="H77" s="4"/>
    </x:row>
    <x:row r="78" ht="23" customHeight="1">
      <x:c r="A78" s="2"/>
      <x:c r="B78" s="2"/>
      <x:c r="C78" s="2"/>
      <x:c r="D78" s="4"/>
      <x:c r="E78" s="4"/>
      <x:c r="F78" s="4"/>
      <x:c r="G78" s="4"/>
      <x:c r="H78" s="4"/>
    </x:row>
    <x:row r="79" ht="23" customHeight="1">
      <x:c r="A79" s="2"/>
      <x:c r="B79" s="2"/>
      <x:c r="C79" s="2"/>
      <x:c r="D79" s="4"/>
      <x:c r="E79" s="4"/>
      <x:c r="F79" s="4"/>
      <x:c r="G79" s="4"/>
      <x:c r="H79" s="4"/>
    </x:row>
    <x:row r="80" ht="23" customHeight="1">
      <x:c r="A80" s="2"/>
      <x:c r="B80" s="2"/>
      <x:c r="C80" s="2"/>
      <x:c r="D80" s="4"/>
      <x:c r="E80" s="4"/>
      <x:c r="F80" s="4"/>
      <x:c r="G80" s="4"/>
      <x:c r="H80" s="4"/>
    </x:row>
    <x:row r="81" ht="23" customHeight="1">
      <x:c r="A81" s="2"/>
      <x:c r="B81" s="2"/>
      <x:c r="C81" s="2"/>
      <x:c r="D81" s="4"/>
      <x:c r="E81" s="4"/>
      <x:c r="F81" s="4"/>
      <x:c r="G81" s="4"/>
      <x:c r="H81" s="4"/>
    </x:row>
    <x:row r="82" ht="23" customHeight="1">
      <x:c r="A82" s="2"/>
      <x:c r="B82" s="2"/>
      <x:c r="C82" s="2"/>
      <x:c r="D82" s="4"/>
      <x:c r="E82" s="4"/>
      <x:c r="F82" s="4"/>
      <x:c r="G82" s="4"/>
      <x:c r="H82" s="4"/>
    </x:row>
    <x:row r="83" ht="23" customHeight="1">
      <x:c r="A83" s="2"/>
      <x:c r="B83" s="2"/>
      <x:c r="C83" s="2"/>
      <x:c r="D83" s="4"/>
      <x:c r="E83" s="4"/>
      <x:c r="F83" s="4"/>
      <x:c r="G83" s="4"/>
      <x:c r="H83" s="4"/>
    </x:row>
    <x:row r="84" ht="23" customHeight="1">
      <x:c r="A84" s="2"/>
      <x:c r="B84" s="2"/>
      <x:c r="C84" s="2"/>
      <x:c r="D84" s="4"/>
      <x:c r="E84" s="4"/>
      <x:c r="F84" s="4"/>
      <x:c r="G84" s="4"/>
      <x:c r="H84" s="4"/>
    </x:row>
    <x:row r="85" ht="23" customHeight="1">
      <x:c r="A85" s="2"/>
      <x:c r="B85" s="2"/>
      <x:c r="C85" s="2"/>
      <x:c r="D85" s="4"/>
      <x:c r="E85" s="4"/>
      <x:c r="F85" s="4"/>
      <x:c r="G85" s="4"/>
      <x:c r="H85" s="4"/>
    </x:row>
    <x:row r="86" ht="23" customHeight="1">
      <x:c r="A86" s="2"/>
      <x:c r="B86" s="2"/>
      <x:c r="C86" s="2"/>
      <x:c r="D86" s="4"/>
      <x:c r="E86" s="4"/>
      <x:c r="F86" s="4"/>
      <x:c r="G86" s="4"/>
      <x:c r="H86" s="4"/>
    </x:row>
    <x:row r="87" ht="23" customHeight="1">
      <x:c r="A87" s="2"/>
      <x:c r="B87" s="2"/>
      <x:c r="C87" s="2"/>
      <x:c r="D87" s="4"/>
      <x:c r="E87" s="4"/>
      <x:c r="F87" s="4"/>
      <x:c r="G87" s="4"/>
      <x:c r="H87" s="4"/>
    </x:row>
    <x:row r="88" ht="23" customHeight="1">
      <x:c r="A88" s="2"/>
      <x:c r="B88" s="2"/>
      <x:c r="C88" s="2"/>
      <x:c r="D88" s="4"/>
      <x:c r="E88" s="4"/>
      <x:c r="F88" s="4"/>
      <x:c r="G88" s="4"/>
      <x:c r="H88" s="4"/>
    </x:row>
    <x:row r="89" ht="23" customHeight="1">
      <x:c r="A89" s="2"/>
      <x:c r="B89" s="2"/>
      <x:c r="C89" s="2"/>
      <x:c r="D89" s="4"/>
      <x:c r="E89" s="4"/>
      <x:c r="F89" s="4"/>
      <x:c r="G89" s="4"/>
      <x:c r="H89" s="4"/>
    </x:row>
    <x:row r="90" ht="23" customHeight="1">
      <x:c r="A90" s="2"/>
      <x:c r="B90" s="2"/>
      <x:c r="C90" s="2"/>
      <x:c r="D90" s="4"/>
      <x:c r="E90" s="4"/>
      <x:c r="F90" s="4"/>
      <x:c r="G90" s="4"/>
      <x:c r="H90" s="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1" hidden="0" customWidth="1"/>
    <x:col min="4" max="4" width="37" hidden="0" customWidth="1"/>
    <x:col min="5" max="5" width="20" hidden="0" customWidth="1"/>
    <x:col min="6" max="6" width="18" hidden="0" customWidth="1"/>
    <x:col min="7" max="7" width="25" hidden="0" customWidth="1"/>
    <x:col min="8" max="8" width="29" hidden="0" customWidth="1"/>
    <x:col min="9" max="9" width="74" hidden="0" customWidth="1"/>
    <x:col min="10" max="10" width="3" hidden="0" customWidth="1"/>
    <x:col min="11" max="11" width="8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1" customHeight="1">
      <x:c r="A2" s="2"/>
      <x:c r="B2" s="2"/>
      <x:c r="C2" s="6" t="str">
        <x:v>Source evidence and deck snapshot</x:v>
      </x:c>
      <x:c r="D2" s="6"/>
      <x:c r="E2" s="6"/>
      <x:c r="F2" s="6"/>
      <x:c r="G2" s="6"/>
      <x:c r="H2" s="6"/>
      <x:c r="I2" s="6"/>
      <x:c r="J2" s="6"/>
      <x:c r="K2" s="6"/>
    </x:row>
    <x:row r="3" ht="22" customHeight="1">
      <x:c r="A3" s="2"/>
      <x:c r="B3" s="2"/>
      <x:c r="C3" s="10" t="str">
        <x:v>Reviewed September 30, 2026. Historical market vintages are preserved to reconcile the deck.</x:v>
      </x:c>
      <x:c r="D3" s="10"/>
      <x:c r="E3" s="10"/>
      <x:c r="F3" s="10"/>
      <x:c r="G3" s="10"/>
      <x:c r="H3" s="10"/>
      <x:c r="I3" s="10"/>
      <x:c r="J3" s="10"/>
      <x:c r="K3" s="10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0" customHeight="1">
      <x:c r="A6" s="2"/>
      <x:c r="B6" s="2"/>
      <x:c r="C6" s="15" t="str">
        <x:v>ID</x:v>
      </x:c>
      <x:c r="D6" s="16" t="str">
        <x:v>Metric</x:v>
      </x:c>
      <x:c r="E6" s="16" t="str">
        <x:v>Value</x:v>
      </x:c>
      <x:c r="F6" s="16" t="str">
        <x:v>Unit</x:v>
      </x:c>
      <x:c r="G6" s="16" t="str">
        <x:v>Data period</x:v>
      </x:c>
      <x:c r="H6" s="16" t="str">
        <x:v>Evidence status</x:v>
      </x:c>
      <x:c r="I6" s="16" t="str">
        <x:v>Definition / limitation</x:v>
      </x:c>
      <x:c r="J6" s="9"/>
      <x:c r="K6" s="14" t="str">
        <x:v>Source / location</x:v>
      </x:c>
    </x:row>
    <x:row r="7" ht="60" customHeight="1">
      <x:c r="A7" s="2"/>
      <x:c r="B7" s="2"/>
      <x:c r="C7" s="8" t="str">
        <x:v>M01</x:v>
      </x:c>
      <x:c r="D7" s="9" t="str">
        <x:v>Retail TAM population, low</x:v>
      </x:c>
      <x:c r="E7" s="19" t="n">
        <x:v>10000000</x:v>
      </x:c>
      <x:c r="F7" s="9" t="str">
        <x:v>people</x:v>
      </x:c>
      <x:c r="G7" s="9" t="str">
        <x:v>Deck estimate</x:v>
      </x:c>
      <x:c r="H7" s="9" t="str">
        <x:v>Not independently verified</x:v>
      </x:c>
      <x:c r="I7" s="21" t="str">
        <x:v>Current cited statistics page refers to an older 9.6M estimate. The deck 10-15M range is retained only as an assumption.</x:v>
      </x:c>
      <x:c r="J7" s="9"/>
      <x:c r="K7" s="21" t="str">
        <x:v>https://www.compareforexbrokers.com/trading/statistics/</x:v>
      </x:c>
    </x:row>
    <x:row r="8" ht="60" customHeight="1">
      <x:c r="A8" s="2"/>
      <x:c r="B8" s="2"/>
      <x:c r="C8" s="8" t="str">
        <x:v>M02</x:v>
      </x:c>
      <x:c r="D8" s="9" t="str">
        <x:v>Retail TAM population, high</x:v>
      </x:c>
      <x:c r="E8" s="19" t="n">
        <x:v>15000000</x:v>
      </x:c>
      <x:c r="F8" s="9" t="str">
        <x:v>people</x:v>
      </x:c>
      <x:c r="G8" s="9" t="str">
        <x:v>Deck estimate</x:v>
      </x:c>
      <x:c r="H8" s="9" t="str">
        <x:v>Not independently verified</x:v>
      </x:c>
      <x:c r="I8" s="21" t="str">
        <x:v>Upper end of the same deck assumption. No measured global person count was located.</x:v>
      </x:c>
      <x:c r="J8" s="9"/>
      <x:c r="K8" s="21" t="str">
        <x:v>src/app/research/market-sizing/page.tsx</x:v>
      </x:c>
    </x:row>
    <x:row r="9" ht="60" customHeight="1">
      <x:c r="A9" s="2"/>
      <x:c r="B9" s="2"/>
      <x:c r="C9" s="8" t="str">
        <x:v>M03</x:v>
      </x:c>
      <x:c r="D9" s="9" t="str">
        <x:v>Active CFD accounts</x:v>
      </x:c>
      <x:c r="E9" s="19" t="n">
        <x:v>6787000</x:v>
      </x:c>
      <x:c r="F9" s="9" t="str">
        <x:v>accounts</x:v>
      </x:c>
      <x:c r="G9" s="9" t="str">
        <x:v>Q4 2025</x:v>
      </x:c>
      <x:c r="H9" s="9" t="str">
        <x:v>Verified publisher data</x:v>
      </x:c>
      <x:c r="I9" s="21" t="str">
        <x:v>Broker-account count, not unique people, paying software buyers or an accessible launch-market population.</x:v>
      </x:c>
      <x:c r="J9" s="9"/>
      <x:c r="K9" s="21" t="str">
        <x:v>https://www.financemagnates.com/forex/analysis/exclusive-cfd-industry-tops-6-million-accounts-can-the-momentum-hold-in-2026/</x:v>
      </x:c>
    </x:row>
    <x:row r="10" ht="60" customHeight="1">
      <x:c r="A10" s="2"/>
      <x:c r="B10" s="2"/>
      <x:c r="C10" s="8" t="str">
        <x:v>M04</x:v>
      </x:c>
      <x:c r="D10" s="9" t="str">
        <x:v>US separately managed assets</x:v>
      </x:c>
      <x:c r="E10" s="19" t="n">
        <x:v>3860000000000</x:v>
      </x:c>
      <x:c r="F10" s="9" t="str">
        <x:v>USD assets</x:v>
      </x:c>
      <x:c r="G10" s="9" t="str">
        <x:v>Q1 2025</x:v>
      </x:c>
      <x:c r="H10" s="9" t="str">
        <x:v>Verified publisher data</x:v>
      </x:c>
      <x:c r="I10" s="21" t="str">
        <x:v>Includes SMAs in unified managed accounts. Broad assets are not all allocable to VibeTrader strategies.</x:v>
      </x:c>
      <x:c r="J10" s="9"/>
      <x:c r="K10" s="21" t="str">
        <x:v>https://www.cerulli.com/press-releases/asset-managers-face-higher-than-expected-sma-redemption-rates</x:v>
      </x:c>
    </x:row>
    <x:row r="11" ht="60" customHeight="1">
      <x:c r="A11" s="2"/>
      <x:c r="B11" s="2"/>
      <x:c r="C11" s="8" t="str">
        <x:v>M05</x:v>
      </x:c>
      <x:c r="D11" s="9" t="str">
        <x:v>Third-party model assets</x:v>
      </x:c>
      <x:c r="E11" s="19" t="n">
        <x:v>645000000000</x:v>
      </x:c>
      <x:c r="F11" s="9" t="str">
        <x:v>USD assets</x:v>
      </x:c>
      <x:c r="G11" s="9" t="str">
        <x:v>March 31, 2025</x:v>
      </x:c>
      <x:c r="H11" s="9" t="str">
        <x:v>Verified lower-bound proxy</x:v>
      </x:c>
      <x:c r="I11" s="21" t="str">
        <x:v>Report p.3 says more than $645B. The dated PDF replaces a landing page now showing the 2026 report.</x:v>
      </x:c>
      <x:c r="J11" s="9"/>
      <x:c r="K11" s="21" t="str">
        <x:v>https://marketing.morningstar.com/content/cs-assets/v3/assets/blt9415ea4cc4157833/blt035fbf00ab4b9715/68acc5d112dfd77061f6f62e/2025_Model_Portfolio_Landscape_-_FINAL_Revised_Links.pdf</x:v>
      </x:c>
    </x:row>
    <x:row r="12" ht="60" customHeight="1">
      <x:c r="A12" s="2"/>
      <x:c r="B12" s="2"/>
      <x:c r="C12" s="8" t="str">
        <x:v>M06</x:v>
      </x:c>
      <x:c r="D12" s="9" t="str">
        <x:v>Treasury management market</x:v>
      </x:c>
      <x:c r="E12" s="19" t="n">
        <x:v>6600000000</x:v>
      </x:c>
      <x:c r="F12" s="9" t="str">
        <x:v>USD / year</x:v>
      </x:c>
      <x:c r="G12" s="9" t="str">
        <x:v>2025 estimate</x:v>
      </x:c>
      <x:c r="H12" s="9" t="str">
        <x:v>Verified analyst estimate</x:v>
      </x:c>
      <x:c r="I12" s="21" t="str">
        <x:v>CMI issuer release dated October 7, 2025. Broad software and services category, not an FX-strategy-only TAM.</x:v>
      </x:c>
      <x:c r="J12" s="9"/>
      <x:c r="K12" s="21" t="str">
        <x:v>https://www.globenewswire.com/news-release/2025/10/07/3162611/0/en/Treasury-Management-Market-Size-to-Hit-USD-16-31-Billion-by-2032-says-Coherent-Market-Insights.html</x:v>
      </x:c>
    </x:row>
    <x:row r="13" ht="60" customHeight="1">
      <x:c r="A13" s="2"/>
      <x:c r="B13" s="2"/>
      <x:c r="C13" s="8" t="str">
        <x:v>M07</x:v>
      </x:c>
      <x:c r="D13" s="9" t="str">
        <x:v>Multinationals in Kyriba sample</x:v>
      </x:c>
      <x:c r="E13" s="19" t="n">
        <x:v>1200</x:v>
      </x:c>
      <x:c r="F13" s="9" t="str">
        <x:v>companies</x:v>
      </x:c>
      <x:c r="G13" s="9" t="str">
        <x:v>July 2023 report</x:v>
      </x:c>
      <x:c r="H13" s="9" t="str">
        <x:v>Verified historical sample</x:v>
      </x:c>
      <x:c r="I13" s="21" t="str">
        <x:v>North America and Europe, at least 15% overseas revenue. Sample membership does not establish buying intent.</x:v>
      </x:c>
      <x:c r="J13" s="9"/>
      <x:c r="K13" s="21" t="str">
        <x:v>https://www.kyriba.com/news/kyriba-cir-july-2023-unveils-fx-headwinds/</x:v>
      </x:c>
    </x:row>
    <x:row r="14" ht="60" customHeight="1">
      <x:c r="A14" s="2"/>
      <x:c r="B14" s="2"/>
      <x:c r="C14" s="8" t="str">
        <x:v>P01</x:v>
      </x:c>
      <x:c r="D14" s="9" t="str">
        <x:v>Trader app price</x:v>
      </x:c>
      <x:c r="E14" s="19" t="n">
        <x:v>25</x:v>
      </x:c>
      <x:c r="F14" s="9" t="str">
        <x:v>USD / month</x:v>
      </x:c>
      <x:c r="G14" s="9" t="str">
        <x:v>Current deck</x:v>
      </x:c>
      <x:c r="H14" s="9" t="str">
        <x:v>Internal price assumption</x:v>
      </x:c>
      <x:c r="I14" s="21" t="str">
        <x:v>Slide price, not observed realized ARPU.</x:v>
      </x:c>
      <x:c r="J14" s="9"/>
      <x:c r="K14" s="21" t="str">
        <x:v>src/app/presentation/5/page.tsx</x:v>
      </x:c>
    </x:row>
    <x:row r="15" ht="60" customHeight="1">
      <x:c r="A15" s="2"/>
      <x:c r="B15" s="2"/>
      <x:c r="C15" s="8" t="str">
        <x:v>P02</x:v>
      </x:c>
      <x:c r="D15" s="9" t="str">
        <x:v>Pro app price</x:v>
      </x:c>
      <x:c r="E15" s="19" t="n">
        <x:v>99</x:v>
      </x:c>
      <x:c r="F15" s="9" t="str">
        <x:v>USD / month</x:v>
      </x:c>
      <x:c r="G15" s="9" t="str">
        <x:v>Current deck</x:v>
      </x:c>
      <x:c r="H15" s="9" t="str">
        <x:v>Internal price assumption</x:v>
      </x:c>
      <x:c r="I15" s="21" t="str">
        <x:v>Slide price, not observed realized ARPU.</x:v>
      </x:c>
      <x:c r="J15" s="9"/>
      <x:c r="K15" s="21" t="str">
        <x:v>src/app/presentation/5/page.tsx</x:v>
      </x:c>
    </x:row>
    <x:row r="16" ht="60" customHeight="1">
      <x:c r="A16" s="2"/>
      <x:c r="B16" s="2"/>
      <x:c r="C16" s="8" t="str">
        <x:v>P03</x:v>
      </x:c>
      <x:c r="D16" s="9" t="str">
        <x:v>Elite app price</x:v>
      </x:c>
      <x:c r="E16" s="19" t="n">
        <x:v>200</x:v>
      </x:c>
      <x:c r="F16" s="9" t="str">
        <x:v>USD / month</x:v>
      </x:c>
      <x:c r="G16" s="9" t="str">
        <x:v>Current deck</x:v>
      </x:c>
      <x:c r="H16" s="9" t="str">
        <x:v>Internal price assumption</x:v>
      </x:c>
      <x:c r="I16" s="21" t="str">
        <x:v>Slide price, not observed realized ARPU.</x:v>
      </x:c>
      <x:c r="J16" s="9"/>
      <x:c r="K16" s="21" t="str">
        <x:v>src/app/presentation/5/page.tsx</x:v>
      </x:c>
    </x:row>
    <x:row r="17" ht="60" customHeight="1">
      <x:c r="A17" s="2"/>
      <x:c r="B17" s="2"/>
      <x:c r="C17" s="8" t="str">
        <x:v>P04</x:v>
      </x:c>
      <x:c r="D17" s="9" t="str">
        <x:v>Trader tier mix</x:v>
      </x:c>
      <x:c r="E17" s="20" t="n">
        <x:v>0.8</x:v>
      </x:c>
      <x:c r="F17" s="9" t="str">
        <x:v>share</x:v>
      </x:c>
      <x:c r="G17" s="9" t="str">
        <x:v>Planning</x:v>
      </x:c>
      <x:c r="H17" s="9" t="str">
        <x:v>Management assumption</x:v>
      </x:c>
      <x:c r="I17" s="21" t="str">
        <x:v>No paid mix established in a pre-revenue business.</x:v>
      </x:c>
      <x:c r="J17" s="9"/>
      <x:c r="K17" s="21" t="str">
        <x:v>src/app/research/market-sizing/page.tsx</x:v>
      </x:c>
    </x:row>
    <x:row r="18" ht="60" customHeight="1">
      <x:c r="A18" s="2"/>
      <x:c r="B18" s="2"/>
      <x:c r="C18" s="8" t="str">
        <x:v>P05</x:v>
      </x:c>
      <x:c r="D18" s="9" t="str">
        <x:v>Pro tier mix</x:v>
      </x:c>
      <x:c r="E18" s="20" t="n">
        <x:v>0.15</x:v>
      </x:c>
      <x:c r="F18" s="9" t="str">
        <x:v>share</x:v>
      </x:c>
      <x:c r="G18" s="9" t="str">
        <x:v>Planning</x:v>
      </x:c>
      <x:c r="H18" s="9" t="str">
        <x:v>Management assumption</x:v>
      </x:c>
      <x:c r="I18" s="21" t="str">
        <x:v>No paid mix established in a pre-revenue business.</x:v>
      </x:c>
      <x:c r="J18" s="9"/>
      <x:c r="K18" s="21" t="str">
        <x:v>src/app/research/market-sizing/page.tsx</x:v>
      </x:c>
    </x:row>
    <x:row r="19" ht="60" customHeight="1">
      <x:c r="A19" s="2"/>
      <x:c r="B19" s="2"/>
      <x:c r="C19" s="8" t="str">
        <x:v>P06</x:v>
      </x:c>
      <x:c r="D19" s="9" t="str">
        <x:v>Elite tier mix</x:v>
      </x:c>
      <x:c r="E19" s="20" t="n">
        <x:v>0.05</x:v>
      </x:c>
      <x:c r="F19" s="9" t="str">
        <x:v>share</x:v>
      </x:c>
      <x:c r="G19" s="9" t="str">
        <x:v>Planning</x:v>
      </x:c>
      <x:c r="H19" s="9" t="str">
        <x:v>Management assumption</x:v>
      </x:c>
      <x:c r="I19" s="21" t="str">
        <x:v>No paid mix established in a pre-revenue business.</x:v>
      </x:c>
      <x:c r="J19" s="9"/>
      <x:c r="K19" s="21" t="str">
        <x:v>src/app/research/market-sizing/page.tsx</x:v>
      </x:c>
    </x:row>
    <x:row r="20" ht="60" customHeight="1">
      <x:c r="A20" s="2"/>
      <x:c r="B20" s="2"/>
      <x:c r="C20" s="8" t="str">
        <x:v>P07</x:v>
      </x:c>
      <x:c r="D20" s="9" t="str">
        <x:v>Market strategy take-up</x:v>
      </x:c>
      <x:c r="E20" s="20" t="n">
        <x:v>0.01</x:v>
      </x:c>
      <x:c r="F20" s="9" t="str">
        <x:v>share of accounts</x:v>
      </x:c>
      <x:c r="G20" s="9" t="str">
        <x:v>Planning</x:v>
      </x:c>
      <x:c r="H20" s="9" t="str">
        <x:v>Management assumption</x:v>
      </x:c>
      <x:c r="I20" s="21" t="str">
        <x:v>Used for retail SAM upper bound. This is not observed conversion.</x:v>
      </x:c>
      <x:c r="J20" s="9"/>
      <x:c r="K20" s="21" t="str">
        <x:v>src/app/research/market-sizing/page.tsx</x:v>
      </x:c>
    </x:row>
    <x:row r="21" ht="60" customHeight="1">
      <x:c r="A21" s="2"/>
      <x:c r="B21" s="2"/>
      <x:c r="C21" s="8" t="str">
        <x:v>P08</x:v>
      </x:c>
      <x:c r="D21" s="9" t="str">
        <x:v>Market strategy price</x:v>
      </x:c>
      <x:c r="E21" s="19" t="n">
        <x:v>1000</x:v>
      </x:c>
      <x:c r="F21" s="9" t="str">
        <x:v>USD / month</x:v>
      </x:c>
      <x:c r="G21" s="9" t="str">
        <x:v>Planning</x:v>
      </x:c>
      <x:c r="H21" s="9" t="str">
        <x:v>Management assumption</x:v>
      </x:c>
      <x:c r="I21" s="21" t="str">
        <x:v>Year-5 blend. Actual premium tier mix and account equity have not been supplied.</x:v>
      </x:c>
      <x:c r="J21" s="9"/>
      <x:c r="K21" s="21" t="str">
        <x:v>src/config/financial-plan.ts (main, 3eb4b39)</x:v>
      </x:c>
    </x:row>
    <x:row r="22" ht="60" customHeight="1">
      <x:c r="A22" s="2"/>
      <x:c r="B22" s="2"/>
      <x:c r="C22" s="8" t="str">
        <x:v>P09</x:v>
      </x:c>
      <x:c r="D22" s="9" t="str">
        <x:v>RIA annual license fee</x:v>
      </x:c>
      <x:c r="E22" s="20" t="n">
        <x:v>0.004</x:v>
      </x:c>
      <x:c r="F22" s="9" t="str">
        <x:v>annual asset fee</x:v>
      </x:c>
      <x:c r="G22" s="9" t="str">
        <x:v>Planning</x:v>
      </x:c>
      <x:c r="H22" s="9" t="str">
        <x:v>Management assumption</x:v>
      </x:c>
      <x:c r="I22" s="21" t="str">
        <x:v>Fee and eligible asset allocation require commercial validation.</x:v>
      </x:c>
      <x:c r="J22" s="9"/>
      <x:c r="K22" s="21" t="str">
        <x:v>src/config/financial-plan.ts (main, 3eb4b39)</x:v>
      </x:c>
    </x:row>
    <x:row r="23" ht="60" customHeight="1">
      <x:c r="A23" s="2"/>
      <x:c r="B23" s="2"/>
      <x:c r="C23" s="8" t="str">
        <x:v>P10</x:v>
      </x:c>
      <x:c r="D23" s="9" t="str">
        <x:v>Business annual contract</x:v>
      </x:c>
      <x:c r="E23" s="19" t="n">
        <x:v>200000</x:v>
      </x:c>
      <x:c r="F23" s="9" t="str">
        <x:v>USD / company / year</x:v>
      </x:c>
      <x:c r="G23" s="9" t="str">
        <x:v>Planning</x:v>
      </x:c>
      <x:c r="H23" s="9" t="str">
        <x:v>Management assumption</x:v>
      </x:c>
      <x:c r="I23" s="21" t="str">
        <x:v>No signed contracts or willingness-to-pay sample supplied.</x:v>
      </x:c>
      <x:c r="J23" s="9"/>
      <x:c r="K23" s="21" t="str">
        <x:v>src/config/financial-plan.ts (main, 3eb4b39)</x:v>
      </x:c>
    </x:row>
    <x:row r="24" ht="60" customHeight="1">
      <x:c r="A24" s="2"/>
      <x:c r="B24" s="2"/>
      <x:c r="C24" s="8" t="str">
        <x:v>P11</x:v>
      </x:c>
      <x:c r="D24" s="9" t="str">
        <x:v>Retail TAM rounded revenue</x:v>
      </x:c>
      <x:c r="E24" s="19" t="n">
        <x:v>660</x:v>
      </x:c>
      <x:c r="F24" s="9" t="str">
        <x:v>USD / account / year</x:v>
      </x:c>
      <x:c r="G24" s="9" t="str">
        <x:v>Deck calculation</x:v>
      </x:c>
      <x:c r="H24" s="9" t="str">
        <x:v>Rounding convention</x:v>
      </x:c>
      <x:c r="I24" s="21" t="str">
        <x:v>Deck applies an account-derived revenue assumption to estimated people.</x:v>
      </x:c>
      <x:c r="J24" s="9"/>
      <x:c r="K24" s="21" t="str">
        <x:v>src/app/research/market-sizing/page.tsx</x:v>
      </x:c>
    </x:row>
    <x:row r="25" ht="60" customHeight="1">
      <x:c r="A25" s="2"/>
      <x:c r="B25" s="2"/>
      <x:c r="C25" s="8" t="str">
        <x:v>P12</x:v>
      </x:c>
      <x:c r="D25" s="9" t="str">
        <x:v>Forecast app price</x:v>
      </x:c>
      <x:c r="E25" s="19" t="n">
        <x:v>45</x:v>
      </x:c>
      <x:c r="F25" s="9" t="str">
        <x:v>USD / month</x:v>
      </x:c>
      <x:c r="G25" s="9" t="str">
        <x:v>Planning</x:v>
      </x:c>
      <x:c r="H25" s="9" t="str">
        <x:v>Rounding convention</x:v>
      </x:c>
      <x:c r="I25" s="21" t="str">
        <x:v>80/15/5 mix actually gives $44.85. Keep $45 to reconcile slide 7.</x:v>
      </x:c>
      <x:c r="J25" s="9"/>
      <x:c r="K25" s="21" t="str">
        <x:v>src/config/financial-plan.ts (main, 3eb4b39)</x:v>
      </x:c>
    </x:row>
    <x:row r="26" ht="60" customHeight="1">
      <x:c r="A26" s="2"/>
      <x:c r="B26" s="2"/>
      <x:c r="C26" s="8" t="str">
        <x:v>P13</x:v>
      </x:c>
      <x:c r="D26" s="9" t="str">
        <x:v>Strategy includes app access</x:v>
      </x:c>
      <x:c r="E26" s="19" t="n">
        <x:v>1</x:v>
      </x:c>
      <x:c r="F26" s="9" t="str">
        <x:v>1=yes, 0=no</x:v>
      </x:c>
      <x:c r="G26" s="9" t="str">
        <x:v>Planning</x:v>
      </x:c>
      <x:c r="H26" s="9" t="str">
        <x:v>Internal scope convention</x:v>
      </x:c>
      <x:c r="I26" s="21" t="str">
        <x:v>Financial plan excludes bundled app access from standalone app subscribers.</x:v>
      </x:c>
      <x:c r="J26" s="9"/>
      <x:c r="K26" s="21" t="str">
        <x:v>src/config/financial-plan.ts (main, 3eb4b39)</x:v>
      </x:c>
    </x:row>
    <x:row r="27" ht="60" customHeight="1">
      <x:c r="A27" s="2"/>
      <x:c r="B27" s="2"/>
      <x:c r="C27" s="8" t="str">
        <x:v>D01</x:v>
      </x:c>
      <x:c r="D27" s="9" t="str">
        <x:v>Slide 6 SAM low</x:v>
      </x:c>
      <x:c r="E27" s="19" t="n">
        <x:v>4800000000</x:v>
      </x:c>
      <x:c r="F27" s="9" t="str">
        <x:v>USD / year</x:v>
      </x:c>
      <x:c r="G27" s="9" t="str">
        <x:v>Current deck</x:v>
      </x:c>
      <x:c r="H27" s="9" t="str">
        <x:v>Slide snapshot</x:v>
      </x:c>
      <x:c r="I27" s="21" t="str">
        <x:v>Displayed $4.8B is below normal one-decimal rounding of the underlying calculation.</x:v>
      </x:c>
      <x:c r="J27" s="9"/>
      <x:c r="K27" s="21" t="str">
        <x:v>src/app/presentation/6/page.tsx</x:v>
      </x:c>
    </x:row>
    <x:row r="28" ht="60" customHeight="1">
      <x:c r="A28" s="2"/>
      <x:c r="B28" s="2"/>
      <x:c r="C28" s="8" t="str">
        <x:v>D02</x:v>
      </x:c>
      <x:c r="D28" s="9" t="str">
        <x:v>Slide 6 SAM high</x:v>
      </x:c>
      <x:c r="E28" s="19" t="n">
        <x:v>7300000000</x:v>
      </x:c>
      <x:c r="F28" s="9" t="str">
        <x:v>USD / year</x:v>
      </x:c>
      <x:c r="G28" s="9" t="str">
        <x:v>Current deck</x:v>
      </x:c>
      <x:c r="H28" s="9" t="str">
        <x:v>Slide snapshot</x:v>
      </x:c>
      <x:c r="I28" s="21" t="str">
        <x:v>Displayed $7.3B.</x:v>
      </x:c>
      <x:c r="J28" s="9"/>
      <x:c r="K28" s="21" t="str">
        <x:v>src/app/presentation/6/page.tsx</x:v>
      </x:c>
    </x:row>
    <x:row r="29" ht="60" customHeight="1">
      <x:c r="A29" s="2"/>
      <x:c r="B29" s="2"/>
      <x:c r="C29" s="8" t="str">
        <x:v>D03</x:v>
      </x:c>
      <x:c r="D29" s="9" t="str">
        <x:v>Slide 6 TAM low</x:v>
      </x:c>
      <x:c r="E29" s="19" t="n">
        <x:v>29000000000</x:v>
      </x:c>
      <x:c r="F29" s="9" t="str">
        <x:v>USD / year</x:v>
      </x:c>
      <x:c r="G29" s="9" t="str">
        <x:v>Current deck</x:v>
      </x:c>
      <x:c r="H29" s="9" t="str">
        <x:v>Slide snapshot</x:v>
      </x:c>
      <x:c r="I29" s="21" t="str">
        <x:v>Displayed $29B. Combined values use heterogeneous market proxies.</x:v>
      </x:c>
      <x:c r="J29" s="9"/>
      <x:c r="K29" s="21" t="str">
        <x:v>src/app/presentation/6/page.tsx</x:v>
      </x:c>
    </x:row>
    <x:row r="30" ht="60" customHeight="1">
      <x:c r="A30" s="2"/>
      <x:c r="B30" s="2"/>
      <x:c r="C30" s="8" t="str">
        <x:v>D04</x:v>
      </x:c>
      <x:c r="D30" s="9" t="str">
        <x:v>Slide 6 TAM high</x:v>
      </x:c>
      <x:c r="E30" s="19" t="n">
        <x:v>32000000000</x:v>
      </x:c>
      <x:c r="F30" s="9" t="str">
        <x:v>USD / year</x:v>
      </x:c>
      <x:c r="G30" s="9" t="str">
        <x:v>Current deck</x:v>
      </x:c>
      <x:c r="H30" s="9" t="str">
        <x:v>Slide snapshot</x:v>
      </x:c>
      <x:c r="I30" s="21" t="str">
        <x:v>Displayed $32B.</x:v>
      </x:c>
      <x:c r="J30" s="9"/>
      <x:c r="K30" s="21" t="str">
        <x:v>src/app/presentation/6/page.tsx</x:v>
      </x:c>
    </x:row>
    <x:row r="31" ht="23" customHeight="1">
      <x:c r="A31" s="2"/>
      <x:c r="B31" s="2"/>
      <x:c r="C31" s="8"/>
      <x:c r="D31" s="9"/>
      <x:c r="E31" s="9"/>
      <x:c r="F31" s="9"/>
      <x:c r="G31" s="9"/>
      <x:c r="H31" s="9"/>
      <x:c r="I31" s="9"/>
      <x:c r="J31" s="9"/>
      <x:c r="K31" s="9"/>
    </x:row>
    <x:row r="32" ht="23" customHeight="1">
      <x:c r="A32" s="2"/>
      <x:c r="B32" s="2"/>
      <x:c r="C32" s="8"/>
      <x:c r="D32" s="9"/>
      <x:c r="E32" s="9"/>
      <x:c r="F32" s="9"/>
      <x:c r="G32" s="9"/>
      <x:c r="H32" s="9"/>
      <x:c r="I32" s="9"/>
      <x:c r="J32" s="9"/>
      <x:c r="K32" s="9"/>
    </x:row>
    <x:row r="33" ht="23" customHeight="1">
      <x:c r="A33" s="2"/>
      <x:c r="B33" s="2"/>
      <x:c r="C33" s="8"/>
      <x:c r="D33" s="9"/>
      <x:c r="E33" s="9"/>
      <x:c r="F33" s="9"/>
      <x:c r="G33" s="9"/>
      <x:c r="H33" s="9"/>
      <x:c r="I33" s="9"/>
      <x:c r="J33" s="9"/>
      <x:c r="K33" s="9"/>
    </x:row>
    <x:row r="34" ht="25" customHeight="1">
      <x:c r="A34" s="2"/>
      <x:c r="B34" s="2"/>
      <x:c r="C34" s="24" t="str">
        <x:v>Original slide 7 inputs and outputs</x:v>
      </x:c>
      <x:c r="D34" s="25"/>
      <x:c r="E34" s="25"/>
      <x:c r="F34" s="25"/>
      <x:c r="G34" s="25"/>
      <x:c r="H34" s="25"/>
      <x:c r="I34" s="9"/>
      <x:c r="J34" s="9"/>
      <x:c r="K34" s="9"/>
    </x:row>
    <x:row r="35" ht="23" customHeight="1">
      <x:c r="A35" s="2"/>
      <x:c r="B35" s="2"/>
      <x:c r="C35" s="8"/>
      <x:c r="D35" s="9"/>
      <x:c r="E35" s="9"/>
      <x:c r="F35" s="9"/>
      <x:c r="G35" s="9"/>
      <x:c r="H35" s="9"/>
      <x:c r="I35" s="9"/>
      <x:c r="J35" s="9"/>
      <x:c r="K35" s="9"/>
    </x:row>
    <x:row r="36" ht="30" customHeight="1">
      <x:c r="A36" s="2"/>
      <x:c r="B36" s="2"/>
      <x:c r="C36" s="8"/>
      <x:c r="D36" s="16" t="str">
        <x:v>Deck snapshot</x:v>
      </x:c>
      <x:c r="E36" s="16" t="str">
        <x:v>Year 1</x:v>
      </x:c>
      <x:c r="F36" s="16" t="str">
        <x:v>Year 2</x:v>
      </x:c>
      <x:c r="G36" s="16" t="str">
        <x:v>Year 3</x:v>
      </x:c>
      <x:c r="H36" s="16" t="str">
        <x:v>Year 4</x:v>
      </x:c>
      <x:c r="I36" s="16" t="str">
        <x:v>Year 5</x:v>
      </x:c>
      <x:c r="J36" s="9"/>
      <x:c r="K36" s="9"/>
    </x:row>
    <x:row r="37" ht="23" customHeight="1">
      <x:c r="A37" s="2"/>
      <x:c r="B37" s="2"/>
      <x:c r="C37" s="8"/>
      <x:c r="D37" s="9"/>
      <x:c r="E37" s="9"/>
      <x:c r="F37" s="9"/>
      <x:c r="G37" s="9"/>
      <x:c r="H37" s="9"/>
      <x:c r="I37" s="9"/>
      <x:c r="J37" s="9"/>
      <x:c r="K37" s="9"/>
    </x:row>
    <x:row r="38" ht="34" customHeight="1">
      <x:c r="A38" s="2"/>
      <x:c r="B38" s="2"/>
      <x:c r="C38" s="8"/>
      <x:c r="D38" s="21" t="str">
        <x:v>Standalone app subscribers</x:v>
      </x:c>
      <x:c r="E38" s="19" t="n">
        <x:v>500</x:v>
      </x:c>
      <x:c r="F38" s="19" t="n">
        <x:v>2000</x:v>
      </x:c>
      <x:c r="G38" s="19" t="n">
        <x:v>5000</x:v>
      </x:c>
      <x:c r="H38" s="19" t="n">
        <x:v>10000</x:v>
      </x:c>
      <x:c r="I38" s="19" t="n">
        <x:v>20000</x:v>
      </x:c>
      <x:c r="J38" s="9"/>
      <x:c r="K38" s="9" t="str">
        <x:v>src/config/financial-plan.ts (main, 3eb4b39)</x:v>
      </x:c>
    </x:row>
    <x:row r="39" ht="34" customHeight="1">
      <x:c r="A39" s="2"/>
      <x:c r="B39" s="2"/>
      <x:c r="C39" s="8"/>
      <x:c r="D39" s="21" t="str">
        <x:v>Premium strategy subscriptions</x:v>
      </x:c>
      <x:c r="E39" s="19" t="n">
        <x:v>400</x:v>
      </x:c>
      <x:c r="F39" s="19" t="n">
        <x:v>1000</x:v>
      </x:c>
      <x:c r="G39" s="19" t="n">
        <x:v>2500</x:v>
      </x:c>
      <x:c r="H39" s="19" t="n">
        <x:v>5500</x:v>
      </x:c>
      <x:c r="I39" s="19" t="n">
        <x:v>10000</x:v>
      </x:c>
      <x:c r="J39" s="9"/>
      <x:c r="K39" s="9" t="str">
        <x:v>src/config/financial-plan.ts (main, 3eb4b39)</x:v>
      </x:c>
    </x:row>
    <x:row r="40" ht="34" customHeight="1">
      <x:c r="A40" s="2"/>
      <x:c r="B40" s="2"/>
      <x:c r="C40" s="8"/>
      <x:c r="D40" s="21" t="str">
        <x:v>Strategy price ($/month)</x:v>
      </x:c>
      <x:c r="E40" s="19" t="n">
        <x:v>500</x:v>
      </x:c>
      <x:c r="F40" s="19" t="n">
        <x:v>800</x:v>
      </x:c>
      <x:c r="G40" s="19" t="n">
        <x:v>1000</x:v>
      </x:c>
      <x:c r="H40" s="19" t="n">
        <x:v>1000</x:v>
      </x:c>
      <x:c r="I40" s="19" t="n">
        <x:v>1000</x:v>
      </x:c>
      <x:c r="J40" s="9"/>
      <x:c r="K40" s="9" t="str">
        <x:v>src/config/financial-plan.ts (main, 3eb4b39)</x:v>
      </x:c>
    </x:row>
    <x:row r="41" ht="34" customHeight="1">
      <x:c r="A41" s="2"/>
      <x:c r="B41" s="2"/>
      <x:c r="C41" s="8"/>
      <x:c r="D41" s="21" t="str">
        <x:v>RIA allocated assets ($)</x:v>
      </x:c>
      <x:c r="E41" s="19" t="n">
        <x:v>0</x:v>
      </x:c>
      <x:c r="F41" s="19" t="n">
        <x:v>0</x:v>
      </x:c>
      <x:c r="G41" s="19" t="n">
        <x:v>750000000</x:v>
      </x:c>
      <x:c r="H41" s="19" t="n">
        <x:v>3000000000</x:v>
      </x:c>
      <x:c r="I41" s="19" t="n">
        <x:v>10000000000</x:v>
      </x:c>
      <x:c r="J41" s="9"/>
      <x:c r="K41" s="9" t="str">
        <x:v>src/config/financial-plan.ts (main, 3eb4b39)</x:v>
      </x:c>
    </x:row>
    <x:row r="42" ht="34" customHeight="1">
      <x:c r="A42" s="2"/>
      <x:c r="B42" s="2"/>
      <x:c r="C42" s="8"/>
      <x:c r="D42" s="21" t="str">
        <x:v>Business clients</x:v>
      </x:c>
      <x:c r="E42" s="19" t="n">
        <x:v>0</x:v>
      </x:c>
      <x:c r="F42" s="19" t="n">
        <x:v>0</x:v>
      </x:c>
      <x:c r="G42" s="19" t="n">
        <x:v>5</x:v>
      </x:c>
      <x:c r="H42" s="19" t="n">
        <x:v>30</x:v>
      </x:c>
      <x:c r="I42" s="19" t="n">
        <x:v>80</x:v>
      </x:c>
      <x:c r="J42" s="9"/>
      <x:c r="K42" s="9" t="str">
        <x:v>src/config/financial-plan.ts (main, 3eb4b39)</x:v>
      </x:c>
    </x:row>
    <x:row r="43" ht="34" customHeight="1">
      <x:c r="A43" s="2"/>
      <x:c r="B43" s="2"/>
      <x:c r="C43" s="8"/>
      <x:c r="D43" s="21" t="str">
        <x:v>App exit annualized revenue ($)</x:v>
      </x:c>
      <x:c r="E43" s="19" t="n">
        <x:v>270000</x:v>
      </x:c>
      <x:c r="F43" s="19" t="n">
        <x:v>1080000</x:v>
      </x:c>
      <x:c r="G43" s="19" t="n">
        <x:v>2700000</x:v>
      </x:c>
      <x:c r="H43" s="19" t="n">
        <x:v>5400000</x:v>
      </x:c>
      <x:c r="I43" s="19" t="n">
        <x:v>10800000</x:v>
      </x:c>
      <x:c r="J43" s="9"/>
      <x:c r="K43" s="9" t="str">
        <x:v>src/config/financial-plan.ts (main, 3eb4b39)</x:v>
      </x:c>
    </x:row>
    <x:row r="44" ht="34" customHeight="1">
      <x:c r="A44" s="2"/>
      <x:c r="B44" s="2"/>
      <x:c r="C44" s="8"/>
      <x:c r="D44" s="21" t="str">
        <x:v>Strategy exit annualized revenue ($)</x:v>
      </x:c>
      <x:c r="E44" s="19" t="n">
        <x:v>2400000</x:v>
      </x:c>
      <x:c r="F44" s="19" t="n">
        <x:v>9600000</x:v>
      </x:c>
      <x:c r="G44" s="19" t="n">
        <x:v>30000000</x:v>
      </x:c>
      <x:c r="H44" s="19" t="n">
        <x:v>66000000</x:v>
      </x:c>
      <x:c r="I44" s="19" t="n">
        <x:v>120000000</x:v>
      </x:c>
      <x:c r="J44" s="9"/>
      <x:c r="K44" s="9" t="str">
        <x:v>src/config/financial-plan.ts (main, 3eb4b39)</x:v>
      </x:c>
    </x:row>
    <x:row r="45" ht="34" customHeight="1">
      <x:c r="A45" s="2"/>
      <x:c r="B45" s="2"/>
      <x:c r="C45" s="8"/>
      <x:c r="D45" s="21" t="str">
        <x:v>RIA exit annualized revenue ($)</x:v>
      </x:c>
      <x:c r="E45" s="19" t="n">
        <x:v>0</x:v>
      </x:c>
      <x:c r="F45" s="19" t="n">
        <x:v>0</x:v>
      </x:c>
      <x:c r="G45" s="19" t="n">
        <x:v>3000000</x:v>
      </x:c>
      <x:c r="H45" s="19" t="n">
        <x:v>12000000</x:v>
      </x:c>
      <x:c r="I45" s="19" t="n">
        <x:v>40000000</x:v>
      </x:c>
      <x:c r="J45" s="9"/>
      <x:c r="K45" s="9" t="str">
        <x:v>src/config/financial-plan.ts (main, 3eb4b39)</x:v>
      </x:c>
    </x:row>
    <x:row r="46" ht="34" customHeight="1">
      <x:c r="A46" s="2"/>
      <x:c r="B46" s="2"/>
      <x:c r="C46" s="8"/>
      <x:c r="D46" s="21" t="str">
        <x:v>Business exit annualized revenue ($)</x:v>
      </x:c>
      <x:c r="E46" s="19" t="n">
        <x:v>0</x:v>
      </x:c>
      <x:c r="F46" s="19" t="n">
        <x:v>0</x:v>
      </x:c>
      <x:c r="G46" s="19" t="n">
        <x:v>1000000</x:v>
      </x:c>
      <x:c r="H46" s="19" t="n">
        <x:v>6000000</x:v>
      </x:c>
      <x:c r="I46" s="19" t="n">
        <x:v>16000000</x:v>
      </x:c>
      <x:c r="J46" s="9"/>
      <x:c r="K46" s="9" t="str">
        <x:v>src/config/financial-plan.ts (main, 3eb4b39)</x:v>
      </x:c>
    </x:row>
    <x:row r="47" ht="34" customHeight="1">
      <x:c r="A47" s="2"/>
      <x:c r="B47" s="2"/>
      <x:c r="C47" s="8"/>
      <x:c r="D47" s="30" t="str">
        <x:v>Total exit annualized revenue ($)</x:v>
      </x:c>
      <x:c r="E47" s="31" t="n">
        <x:v>2670000</x:v>
      </x:c>
      <x:c r="F47" s="31" t="n">
        <x:v>10680000</x:v>
      </x:c>
      <x:c r="G47" s="31" t="n">
        <x:v>36700000</x:v>
      </x:c>
      <x:c r="H47" s="31" t="n">
        <x:v>89400000</x:v>
      </x:c>
      <x:c r="I47" s="31" t="n">
        <x:v>186800000</x:v>
      </x:c>
      <x:c r="J47" s="9"/>
      <x:c r="K47" s="9" t="str">
        <x:v>src/config/financial-plan.ts (main, 3eb4b39)</x:v>
      </x:c>
    </x:row>
    <x:row r="48" ht="23" customHeight="1">
      <x:c r="A48" s="2"/>
      <x:c r="B48" s="2"/>
      <x:c r="C48" s="8"/>
      <x:c r="D48" s="9"/>
      <x:c r="E48" s="9"/>
      <x:c r="F48" s="9"/>
      <x:c r="G48" s="9"/>
      <x:c r="H48" s="9"/>
      <x:c r="I48" s="9"/>
      <x:c r="J48" s="9"/>
      <x:c r="K48" s="9"/>
    </x:row>
    <x:row r="49" ht="23" customHeight="1">
      <x:c r="A49" s="2"/>
      <x:c r="B49" s="2"/>
      <x:c r="C49" s="8"/>
      <x:c r="D49" s="9"/>
      <x:c r="E49" s="9"/>
      <x:c r="F49" s="9"/>
      <x:c r="G49" s="9"/>
      <x:c r="H49" s="9"/>
      <x:c r="I49" s="9"/>
      <x:c r="J49" s="9"/>
      <x:c r="K49" s="9"/>
    </x:row>
    <x:row r="50" ht="23" customHeight="1">
      <x:c r="A50" s="2"/>
      <x:c r="B50" s="2"/>
      <x:c r="C50" s="8"/>
      <x:c r="D50" s="9"/>
      <x:c r="E50" s="9"/>
      <x:c r="F50" s="9"/>
      <x:c r="G50" s="9"/>
      <x:c r="H50" s="9"/>
      <x:c r="I50" s="9"/>
      <x:c r="J50" s="9"/>
      <x:c r="K50" s="9"/>
    </x:row>
    <x:row r="51" ht="25" customHeight="1">
      <x:c r="A51" s="2"/>
      <x:c r="B51" s="2"/>
      <x:c r="C51" s="24" t="str">
        <x:v>App activity from Clerk and founder statement</x:v>
      </x:c>
      <x:c r="D51" s="25"/>
      <x:c r="E51" s="25"/>
      <x:c r="F51" s="25"/>
      <x:c r="G51" s="25"/>
      <x:c r="H51" s="25"/>
      <x:c r="I51" s="25"/>
      <x:c r="J51" s="9"/>
      <x:c r="K51" s="9"/>
    </x:row>
    <x:row r="52" ht="30" customHeight="1">
      <x:c r="A52" s="2"/>
      <x:c r="B52" s="2"/>
      <x:c r="C52" s="15" t="str">
        <x:v>ID</x:v>
      </x:c>
      <x:c r="D52" s="16" t="str">
        <x:v>Observation</x:v>
      </x:c>
      <x:c r="E52" s="16" t="str">
        <x:v>Value</x:v>
      </x:c>
      <x:c r="F52" s="16" t="str">
        <x:v>Unit</x:v>
      </x:c>
      <x:c r="G52" s="16" t="str">
        <x:v>Period shown</x:v>
      </x:c>
      <x:c r="H52" s="16" t="str">
        <x:v>Evidence status</x:v>
      </x:c>
      <x:c r="I52" s="16" t="str">
        <x:v>Interpretation</x:v>
      </x:c>
      <x:c r="J52" s="9"/>
      <x:c r="K52" s="9"/>
    </x:row>
    <x:row r="53" ht="58" customHeight="1">
      <x:c r="A53" s="2"/>
      <x:c r="B53" s="2"/>
      <x:c r="C53" s="8" t="str">
        <x:v>A01</x:v>
      </x:c>
      <x:c r="D53" s="9" t="str">
        <x:v>Total app sign-ups</x:v>
      </x:c>
      <x:c r="E53" s="19" t="n">
        <x:v>2513</x:v>
      </x:c>
      <x:c r="F53" s="9" t="str">
        <x:v>users</x:v>
      </x:c>
      <x:c r="G53" s="9" t="str">
        <x:v>All time</x:v>
      </x:c>
      <x:c r="H53" s="9" t="str">
        <x:v>Screenshot observed</x:v>
      </x:c>
      <x:c r="I53" s="21" t="str">
        <x:v>App registered-user stock only. No strategy sales or customers are measured by Clerk.</x:v>
      </x:c>
      <x:c r="J53" s="21"/>
      <x:c r="K53" s="21" t="str">
        <x:v>docs/clerk/clerk-2.png</x:v>
      </x:c>
    </x:row>
    <x:row r="54" ht="58" customHeight="1">
      <x:c r="A54" s="2"/>
      <x:c r="B54" s="2"/>
      <x:c r="C54" s="8" t="str">
        <x:v>A02</x:v>
      </x:c>
      <x:c r="D54" s="9" t="str">
        <x:v>Active app users</x:v>
      </x:c>
      <x:c r="E54" s="19" t="n">
        <x:v>63</x:v>
      </x:c>
      <x:c r="F54" s="9" t="str">
        <x:v>users</x:v>
      </x:c>
      <x:c r="G54" s="9" t="str">
        <x:v>Week of September 28</x:v>
      </x:c>
      <x:c r="H54" s="9" t="str">
        <x:v>Screenshot observed</x:v>
      </x:c>
      <x:c r="I54" s="21" t="str">
        <x:v>Current week may be partial. Not MAU or a paid active count.</x:v>
      </x:c>
      <x:c r="J54" s="21"/>
      <x:c r="K54" s="21" t="str">
        <x:v>docs/clerk/clerk-1.png</x:v>
      </x:c>
    </x:row>
    <x:row r="55" ht="58" customHeight="1">
      <x:c r="A55" s="2"/>
      <x:c r="B55" s="2"/>
      <x:c r="C55" s="8" t="str">
        <x:v>A03</x:v>
      </x:c>
      <x:c r="D55" s="9" t="str">
        <x:v>New active app users</x:v>
      </x:c>
      <x:c r="E55" s="19" t="n">
        <x:v>37</x:v>
      </x:c>
      <x:c r="F55" s="9" t="str">
        <x:v>users</x:v>
      </x:c>
      <x:c r="G55" s="9" t="str">
        <x:v>Week of September 28</x:v>
      </x:c>
      <x:c r="H55" s="9" t="str">
        <x:v>Screenshot observed</x:v>
      </x:c>
      <x:c r="I55" s="21" t="str">
        <x:v>Clerk activity classification.</x:v>
      </x:c>
      <x:c r="J55" s="21"/>
      <x:c r="K55" s="21" t="str">
        <x:v>docs/clerk/clerk-1.png</x:v>
      </x:c>
    </x:row>
    <x:row r="56" ht="58" customHeight="1">
      <x:c r="A56" s="2"/>
      <x:c r="B56" s="2"/>
      <x:c r="C56" s="8" t="str">
        <x:v>A04</x:v>
      </x:c>
      <x:c r="D56" s="9" t="str">
        <x:v>Retained active app users</x:v>
      </x:c>
      <x:c r="E56" s="19" t="n">
        <x:v>20</x:v>
      </x:c>
      <x:c r="F56" s="9" t="str">
        <x:v>users</x:v>
      </x:c>
      <x:c r="G56" s="9" t="str">
        <x:v>Week of September 28</x:v>
      </x:c>
      <x:c r="H56" s="9" t="str">
        <x:v>Screenshot observed</x:v>
      </x:c>
      <x:c r="I56" s="21" t="str">
        <x:v>Prior cohort denominator is absent. Do not use this count as paid retention.</x:v>
      </x:c>
      <x:c r="J56" s="21"/>
      <x:c r="K56" s="21" t="str">
        <x:v>docs/clerk/clerk-1.png</x:v>
      </x:c>
    </x:row>
    <x:row r="57" ht="58" customHeight="1">
      <x:c r="A57" s="2"/>
      <x:c r="B57" s="2"/>
      <x:c r="C57" s="8" t="str">
        <x:v>A05</x:v>
      </x:c>
      <x:c r="D57" s="9" t="str">
        <x:v>Reactivated app users</x:v>
      </x:c>
      <x:c r="E57" s="19" t="n">
        <x:v>6</x:v>
      </x:c>
      <x:c r="F57" s="9" t="str">
        <x:v>users</x:v>
      </x:c>
      <x:c r="G57" s="9" t="str">
        <x:v>Week of September 28</x:v>
      </x:c>
      <x:c r="H57" s="9" t="str">
        <x:v>Screenshot observed</x:v>
      </x:c>
      <x:c r="I57" s="21" t="str">
        <x:v>Included in the reported 63 active users.</x:v>
      </x:c>
      <x:c r="J57" s="21"/>
      <x:c r="K57" s="21" t="str">
        <x:v>docs/clerk/clerk-1.png</x:v>
      </x:c>
    </x:row>
    <x:row r="58" ht="58" customHeight="1">
      <x:c r="A58" s="2"/>
      <x:c r="B58" s="2"/>
      <x:c r="C58" s="8" t="str">
        <x:v>A06</x:v>
      </x:c>
      <x:c r="D58" s="9" t="str">
        <x:v>App sign-ups per week</x:v>
      </x:c>
      <x:c r="E58" s="19" t="n">
        <x:v>37</x:v>
      </x:c>
      <x:c r="F58" s="9" t="str">
        <x:v>sign-ups</x:v>
      </x:c>
      <x:c r="G58" s="9" t="str">
        <x:v>Week of September 28</x:v>
      </x:c>
      <x:c r="H58" s="9" t="str">
        <x:v>Screenshot observed</x:v>
      </x:c>
      <x:c r="I58" s="21" t="str">
        <x:v>Acquisition activity, not a billing conversion count.</x:v>
      </x:c>
      <x:c r="J58" s="21"/>
      <x:c r="K58" s="21" t="str">
        <x:v>docs/clerk/clerk-1.png</x:v>
      </x:c>
    </x:row>
    <x:row r="59" ht="58" customHeight="1">
      <x:c r="A59" s="2"/>
      <x:c r="B59" s="2"/>
      <x:c r="C59" s="8" t="str">
        <x:v>A07</x:v>
      </x:c>
      <x:c r="D59" s="9" t="str">
        <x:v>App sign-ins per week</x:v>
      </x:c>
      <x:c r="E59" s="19" t="n">
        <x:v>16</x:v>
      </x:c>
      <x:c r="F59" s="9" t="str">
        <x:v>sign-ins</x:v>
      </x:c>
      <x:c r="G59" s="9" t="str">
        <x:v>Week of September 28</x:v>
      </x:c>
      <x:c r="H59" s="9" t="str">
        <x:v>Screenshot observed</x:v>
      </x:c>
      <x:c r="I59" s="21" t="str">
        <x:v>Metric label transcribed as shown. Do not infer its denominator.</x:v>
      </x:c>
      <x:c r="J59" s="21"/>
      <x:c r="K59" s="21" t="str">
        <x:v>docs/clerk/clerk-1.png</x:v>
      </x:c>
    </x:row>
    <x:row r="60" ht="58" customHeight="1">
      <x:c r="A60" s="2"/>
      <x:c r="B60" s="2"/>
      <x:c r="C60" s="8" t="str">
        <x:v>A08</x:v>
      </x:c>
      <x:c r="D60" s="9" t="str">
        <x:v>App weekly cohort retention</x:v>
      </x:c>
      <x:c r="E60" s="32" t="n">
        <x:v>0.07</x:v>
      </x:c>
      <x:c r="F60" s="9" t="str">
        <x:v>share after 8 weeks</x:v>
      </x:c>
      <x:c r="G60" s="9" t="str">
        <x:v>8-week cohort</x:v>
      </x:c>
      <x:c r="H60" s="9" t="str">
        <x:v>Screenshot observed</x:v>
      </x:c>
      <x:c r="I60" s="21" t="str">
        <x:v>Unpaid product activity retention. Do not convert to monthly subscription churn.</x:v>
      </x:c>
      <x:c r="J60" s="21"/>
      <x:c r="K60" s="21" t="str">
        <x:v>docs/clerk/clerk-2.png</x:v>
      </x:c>
    </x:row>
    <x:row r="61" ht="58" customHeight="1">
      <x:c r="A61" s="2"/>
      <x:c r="B61" s="2"/>
      <x:c r="C61" s="8" t="str">
        <x:v>A09</x:v>
      </x:c>
      <x:c r="D61" s="9" t="str">
        <x:v>Current app revenue</x:v>
      </x:c>
      <x:c r="E61" s="19" t="n">
        <x:v>0</x:v>
      </x:c>
      <x:c r="F61" s="9" t="str">
        <x:v>USD</x:v>
      </x:c>
      <x:c r="G61" s="9" t="str">
        <x:v>September 30, 2026</x:v>
      </x:c>
      <x:c r="H61" s="9" t="str">
        <x:v>Founder reported</x:v>
      </x:c>
      <x:c r="I61" s="21" t="str">
        <x:v>App is pre-revenue. Premium strategy sales have just started; strategy actuals require separate records.</x:v>
      </x:c>
      <x:c r="J61" s="21"/>
      <x:c r="K61" s="21" t="str">
        <x:v>User messages in this conversation, September 30, 2026</x:v>
      </x:c>
    </x:row>
    <x:row r="62" ht="58" customHeight="1">
      <x:c r="A62" s="2"/>
      <x:c r="B62" s="2"/>
      <x:c r="C62" s="8" t="str">
        <x:v>A10</x:v>
      </x:c>
      <x:c r="D62" s="9" t="str">
        <x:v>Paid strategy subscriptions</x:v>
      </x:c>
      <x:c r="E62" s="33"/>
      <x:c r="F62" s="9" t="str">
        <x:v>subscriptions</x:v>
      </x:c>
      <x:c r="G62" s="9" t="str">
        <x:v>September 30, 2026</x:v>
      </x:c>
      <x:c r="H62" s="9" t="str">
        <x:v>Missing billing evidence</x:v>
      </x:c>
      <x:c r="I62" s="21" t="str">
        <x:v>Requires invoices/subscriptions with paid status. No inference from Clerk or beta accounts.</x:v>
      </x:c>
      <x:c r="J62" s="21"/>
      <x:c r="K62" s="21" t="str">
        <x:v>Strategy billing export needed</x:v>
      </x:c>
    </x:row>
    <x:row r="63" ht="58" customHeight="1">
      <x:c r="A63" s="2"/>
      <x:c r="B63" s="2"/>
      <x:c r="C63" s="8" t="str">
        <x:v>A11</x:v>
      </x:c>
      <x:c r="D63" s="9" t="str">
        <x:v>Beta strategy accounts</x:v>
      </x:c>
      <x:c r="E63" s="19" t="n">
        <x:v>20</x:v>
      </x:c>
      <x:c r="F63" s="9" t="str">
        <x:v>accounts</x:v>
      </x:c>
      <x:c r="G63" s="9" t="str">
        <x:v>Deck snapshot</x:v>
      </x:c>
      <x:c r="H63" s="9" t="str">
        <x:v>Internal claim only</x:v>
      </x:c>
      <x:c r="I63" s="21" t="str">
        <x:v>Beta usage, not confirmed paying subscriptions.</x:v>
      </x:c>
      <x:c r="J63" s="21"/>
      <x:c r="K63" s="21" t="str">
        <x:v>src/app/presentation/4/page.tsx</x:v>
      </x:c>
    </x:row>
    <x:row r="64" ht="58" customHeight="1">
      <x:c r="A64" s="2"/>
      <x:c r="B64" s="2"/>
      <x:c r="C64" s="8" t="str">
        <x:v>A12</x:v>
      </x:c>
      <x:c r="D64" s="9" t="str">
        <x:v>Subscribers in onboarding</x:v>
      </x:c>
      <x:c r="E64" s="19" t="n">
        <x:v>500</x:v>
      </x:c>
      <x:c r="F64" s="9" t="str">
        <x:v>accounts (lower bound)</x:v>
      </x:c>
      <x:c r="G64" s="9" t="str">
        <x:v>Deck snapshot</x:v>
      </x:c>
      <x:c r="H64" s="9" t="str">
        <x:v>Pipeline only</x:v>
      </x:c>
      <x:c r="I64" s="21" t="str">
        <x:v>Deck says 500+. Excluded from actual revenue and paid subscriber counts.</x:v>
      </x:c>
      <x:c r="J64" s="21"/>
      <x:c r="K64" s="21" t="str">
        <x:v>src/app/presentation/4/page.tsx</x:v>
      </x:c>
    </x:row>
    <x:row r="65" ht="58" customHeight="1">
      <x:c r="A65" s="2"/>
      <x:c r="B65" s="2"/>
      <x:c r="C65" s="8" t="str">
        <x:v>A13</x:v>
      </x:c>
      <x:c r="D65" s="9" t="str">
        <x:v>Current strategy revenue</x:v>
      </x:c>
      <x:c r="E65" s="33"/>
      <x:c r="F65" s="9" t="str">
        <x:v>USD</x:v>
      </x:c>
      <x:c r="G65" s="9" t="str">
        <x:v>September 30, 2026</x:v>
      </x:c>
      <x:c r="H65" s="9" t="str">
        <x:v>Missing billing evidence</x:v>
      </x:c>
      <x:c r="I65" s="21" t="str">
        <x:v>Premium selling has just started. No paid invoice or recognized-revenue total was supplied.</x:v>
      </x:c>
      <x:c r="J65" s="21"/>
      <x:c r="K65" s="21" t="str">
        <x:v>Strategy billing export needed</x:v>
      </x:c>
    </x:row>
    <x:row r="66" ht="58" customHeight="1">
      <x:c r="A66" s="2"/>
      <x:c r="B66" s="2"/>
      <x:c r="C66" s="8" t="str">
        <x:v>A14</x:v>
      </x:c>
      <x:c r="D66" s="9" t="str">
        <x:v>Confirmed paid app subscriptions</x:v>
      </x:c>
      <x:c r="E66" s="33"/>
      <x:c r="F66" s="9" t="str">
        <x:v>subscriptions</x:v>
      </x:c>
      <x:c r="G66" s="9" t="str">
        <x:v>September 30, 2026</x:v>
      </x:c>
      <x:c r="H66" s="9" t="str">
        <x:v>Missing billing evidence</x:v>
      </x:c>
      <x:c r="I66" s="21" t="str">
        <x:v>Clerk activity metrics do not include billing status.</x:v>
      </x:c>
      <x:c r="J66" s="21"/>
      <x:c r="K66" s="21" t="str">
        <x:v>App billing export needed</x:v>
      </x:c>
    </x:row>
    <x:row r="67" ht="22" customHeight="1">
      <x:c r="A67" s="2"/>
      <x:c r="B67" s="2"/>
      <x:c r="C67" s="34" t="str">
        <x:v>Screenshot year is not printed. Period labels are preserved as shown; review date is September 30, 2026.</x:v>
      </x:c>
      <x:c r="D67" s="35"/>
      <x:c r="E67" s="35"/>
      <x:c r="F67" s="35"/>
      <x:c r="G67" s="35"/>
      <x:c r="H67" s="35"/>
      <x:c r="I67" s="35"/>
      <x:c r="J67" s="35"/>
      <x:c r="K67" s="35"/>
    </x:row>
    <x:row r="68" ht="22" customHeight="1">
      <x:c r="A68" s="2"/>
      <x:c r="B68" s="2"/>
      <x:c r="C68" s="34" t="str">
        <x:v>Template reference: BASIC SUBSCRIPTION MODEL.xlsx, Revenue model and P&amp;L, Arik Paran / SCORE, March 1, 2025.</x:v>
      </x:c>
      <x:c r="D68" s="35"/>
      <x:c r="E68" s="35"/>
      <x:c r="F68" s="35"/>
      <x:c r="G68" s="35"/>
      <x:c r="H68" s="35"/>
      <x:c r="I68" s="35"/>
      <x:c r="J68" s="35"/>
      <x:c r="K68" s="35"/>
    </x:row>
    <x:row r="69" ht="22" customHeight="1">
      <x:c r="A69" s="2"/>
      <x:c r="B69" s="2"/>
      <x:c r="C69" s="34" t="str">
        <x:v>Only structure was adapted. Template sample prices, renewal rates, payroll and AI cost inputs are not VibeTrader evidence.</x:v>
      </x:c>
      <x:c r="D69" s="35"/>
      <x:c r="E69" s="35"/>
      <x:c r="F69" s="35"/>
      <x:c r="G69" s="35"/>
      <x:c r="H69" s="35"/>
      <x:c r="I69" s="35"/>
      <x:c r="J69" s="35"/>
      <x:c r="K69" s="35"/>
    </x:row>
    <x:row r="70" ht="23" customHeight="1">
      <x:c r="A70" s="2"/>
      <x:c r="B70" s="2"/>
      <x:c r="C70" s="8"/>
      <x:c r="D70" s="9"/>
      <x:c r="E70" s="9"/>
      <x:c r="F70" s="9"/>
      <x:c r="G70" s="9"/>
      <x:c r="H70" s="9"/>
      <x:c r="I70" s="9"/>
      <x:c r="J70" s="9"/>
      <x:c r="K70" s="9"/>
    </x:row>
    <x:row r="71" ht="23" customHeight="1">
      <x:c r="A71" s="2"/>
      <x:c r="B71" s="2"/>
      <x:c r="C71" s="8"/>
      <x:c r="D71" s="9"/>
      <x:c r="E71" s="9"/>
      <x:c r="F71" s="9"/>
      <x:c r="G71" s="9"/>
      <x:c r="H71" s="9"/>
      <x:c r="I71" s="9"/>
      <x:c r="J71" s="9"/>
      <x:c r="K71" s="9"/>
    </x:row>
    <x:row r="72" ht="25" customHeight="1">
      <x:c r="A72" s="2"/>
      <x:c r="B72" s="2"/>
      <x:c r="C72" s="24" t="str">
        <x:v>Updated October launch plan from founder</x:v>
      </x:c>
      <x:c r="D72" s="25"/>
      <x:c r="E72" s="25"/>
      <x:c r="F72" s="25"/>
      <x:c r="G72" s="25"/>
      <x:c r="H72" s="25"/>
      <x:c r="I72" s="25"/>
      <x:c r="J72" s="9"/>
      <x:c r="K72" s="9"/>
    </x:row>
    <x:row r="73" ht="30" customHeight="1">
      <x:c r="A73" s="2"/>
      <x:c r="B73" s="2"/>
      <x:c r="C73" s="15" t="str">
        <x:v>ID</x:v>
      </x:c>
      <x:c r="D73" s="16" t="str">
        <x:v>Planning input</x:v>
      </x:c>
      <x:c r="E73" s="16" t="str">
        <x:v>Value</x:v>
      </x:c>
      <x:c r="F73" s="16" t="str">
        <x:v>Unit</x:v>
      </x:c>
      <x:c r="G73" s="16" t="str">
        <x:v>Period</x:v>
      </x:c>
      <x:c r="H73" s="16" t="str">
        <x:v>Evidence status</x:v>
      </x:c>
      <x:c r="I73" s="16" t="str">
        <x:v>Interpretation</x:v>
      </x:c>
      <x:c r="J73" s="9"/>
      <x:c r="K73" s="9"/>
    </x:row>
    <x:row r="74" ht="62" customHeight="1">
      <x:c r="A74" s="2"/>
      <x:c r="B74" s="2"/>
      <x:c r="C74" s="8" t="str">
        <x:v>L01</x:v>
      </x:c>
      <x:c r="D74" s="9" t="str">
        <x:v>Strategy launch month</x:v>
      </x:c>
      <x:c r="E74" s="36" t="n">
        <x:v>46296</x:v>
      </x:c>
      <x:c r="F74" s="9" t="str">
        <x:v>month</x:v>
      </x:c>
      <x:c r="G74" s="9" t="str">
        <x:v>October 2026</x:v>
      </x:c>
      <x:c r="H74" s="9" t="str">
        <x:v>Founder plan</x:v>
      </x:c>
      <x:c r="I74" s="21" t="str">
        <x:v>October onboarding. Date is a planning anchor, not a paid invoice date.</x:v>
      </x:c>
      <x:c r="J74" s="21"/>
      <x:c r="K74" s="21" t="str">
        <x:v>Founder messages in this conversation, September 30, 2026</x:v>
      </x:c>
    </x:row>
    <x:row r="75" ht="62" customHeight="1">
      <x:c r="A75" s="2"/>
      <x:c r="B75" s="2"/>
      <x:c r="C75" s="8" t="str">
        <x:v>L02</x:v>
      </x:c>
      <x:c r="D75" s="9" t="str">
        <x:v>Target checkpoint</x:v>
      </x:c>
      <x:c r="E75" s="36" t="n">
        <x:v>46691</x:v>
      </x:c>
      <x:c r="F75" s="9" t="str">
        <x:v>date</x:v>
      </x:c>
      <x:c r="G75" s="9" t="str">
        <x:v>October 2027</x:v>
      </x:c>
      <x:c r="H75" s="9" t="str">
        <x:v>Founder target</x:v>
      </x:c>
      <x:c r="I75" s="21" t="str">
        <x:v>Revenue target checkpoint is October 2027.</x:v>
      </x:c>
      <x:c r="J75" s="21"/>
      <x:c r="K75" s="21" t="str">
        <x:v>Founder messages in this conversation, September 30, 2026</x:v>
      </x:c>
    </x:row>
    <x:row r="76" ht="62" customHeight="1">
      <x:c r="A76" s="2"/>
      <x:c r="B76" s="2"/>
      <x:c r="C76" s="8" t="str">
        <x:v>L03</x:v>
      </x:c>
      <x:c r="D76" s="9" t="str">
        <x:v>October paid customer plan</x:v>
      </x:c>
      <x:c r="E76" s="19" t="n">
        <x:v>500</x:v>
      </x:c>
      <x:c r="F76" s="9" t="str">
        <x:v>customers, minimum</x:v>
      </x:c>
      <x:c r="G76" s="9" t="str">
        <x:v>October 2026</x:v>
      </x:c>
      <x:c r="H76" s="9" t="str">
        <x:v>Founder plan: 500+</x:v>
      </x:c>
      <x:c r="I76" s="21" t="str">
        <x:v>Use 500 as the minimum planned cohort. One subscription per customer is assumed.</x:v>
      </x:c>
      <x:c r="J76" s="21"/>
      <x:c r="K76" s="21" t="str">
        <x:v>Founder messages in this conversation, September 30, 2026</x:v>
      </x:c>
    </x:row>
    <x:row r="77" ht="62" customHeight="1">
      <x:c r="A77" s="2"/>
      <x:c r="B77" s="2"/>
      <x:c r="C77" s="8" t="str">
        <x:v>L04</x:v>
      </x:c>
      <x:c r="D77" s="9" t="str">
        <x:v>Revenue target</x:v>
      </x:c>
      <x:c r="E77" s="19" t="n">
        <x:v>3000000</x:v>
      </x:c>
      <x:c r="F77" s="9" t="str">
        <x:v>USD</x:v>
      </x:c>
      <x:c r="G77" s="9" t="str">
        <x:v>By October 2027</x:v>
      </x:c>
      <x:c r="H77" s="9" t="str">
        <x:v>Founder target</x:v>
      </x:c>
      <x:c r="I77" s="21" t="str">
        <x:v>Interpreted as earned revenue for the first full service year, November 2026 to October 2027.</x:v>
      </x:c>
      <x:c r="J77" s="21"/>
      <x:c r="K77" s="21" t="str">
        <x:v>Founder messages in this conversation, September 30, 2026</x:v>
      </x:c>
    </x:row>
    <x:row r="78" ht="62" customHeight="1">
      <x:c r="A78" s="2"/>
      <x:c r="B78" s="2"/>
      <x:c r="C78" s="8" t="str">
        <x:v>L05</x:v>
      </x:c>
      <x:c r="D78" s="9" t="str">
        <x:v>Strategy price range, minimum</x:v>
      </x:c>
      <x:c r="E78" s="19" t="n">
        <x:v>100</x:v>
      </x:c>
      <x:c r="F78" s="9" t="str">
        <x:v>USD</x:v>
      </x:c>
      <x:c r="G78" s="9" t="str">
        <x:v>Launch pricing</x:v>
      </x:c>
      <x:c r="H78" s="9" t="str">
        <x:v>Founder price range</x:v>
      </x:c>
      <x:c r="I78" s="21" t="str">
        <x:v>Monthly billing is a working assumption. Realized tier mix is not yet supplied.</x:v>
      </x:c>
      <x:c r="J78" s="21"/>
      <x:c r="K78" s="21" t="str">
        <x:v>Founder messages in this conversation, September 30, 2026</x:v>
      </x:c>
    </x:row>
    <x:row r="79" ht="62" customHeight="1">
      <x:c r="A79" s="2"/>
      <x:c r="B79" s="2"/>
      <x:c r="C79" s="8" t="str">
        <x:v>L06</x:v>
      </x:c>
      <x:c r="D79" s="9" t="str">
        <x:v>Strategy price range, maximum</x:v>
      </x:c>
      <x:c r="E79" s="19" t="n">
        <x:v>2500</x:v>
      </x:c>
      <x:c r="F79" s="9" t="str">
        <x:v>USD</x:v>
      </x:c>
      <x:c r="G79" s="9" t="str">
        <x:v>Launch pricing</x:v>
      </x:c>
      <x:c r="H79" s="9" t="str">
        <x:v>Founder price range</x:v>
      </x:c>
      <x:c r="I79" s="21" t="str">
        <x:v>Range does not establish a weighted average price.</x:v>
      </x:c>
      <x:c r="J79" s="21"/>
      <x:c r="K79" s="21" t="str">
        <x:v>Founder messages in this conversation, September 30, 2026</x:v>
      </x:c>
    </x:row>
    <x:row r="80" ht="23" customHeight="1">
      <x:c r="A80" s="2"/>
      <x:c r="B80" s="2"/>
      <x:c r="C80" s="8"/>
      <x:c r="D80" s="9"/>
      <x:c r="E80" s="9"/>
      <x:c r="F80" s="9"/>
      <x:c r="G80" s="9"/>
      <x:c r="H80" s="9"/>
      <x:c r="I80" s="9"/>
      <x:c r="J80" s="9"/>
      <x:c r="K80" s="9"/>
    </x:row>
    <x:row r="81" ht="23" customHeight="1">
      <x:c r="A81" s="2"/>
      <x:c r="B81" s="2"/>
      <x:c r="C81" s="2"/>
      <x:c r="D81" s="4"/>
      <x:c r="E81" s="4"/>
      <x:c r="F81" s="4"/>
      <x:c r="G81" s="4"/>
      <x:c r="H81" s="4"/>
    </x:row>
    <x:row r="82" ht="23" customHeight="1">
      <x:c r="A82" s="2"/>
      <x:c r="B82" s="2"/>
      <x:c r="C82" s="2"/>
      <x:c r="D82" s="4"/>
      <x:c r="E82" s="4"/>
      <x:c r="F82" s="4"/>
      <x:c r="G82" s="4"/>
      <x:c r="H82" s="4"/>
    </x:row>
    <x:row r="83" ht="23" customHeight="1">
      <x:c r="A83" s="2"/>
      <x:c r="B83" s="2"/>
      <x:c r="C83" s="2"/>
      <x:c r="D83" s="4"/>
      <x:c r="E83" s="4"/>
      <x:c r="F83" s="4"/>
      <x:c r="G83" s="4"/>
      <x:c r="H83" s="4"/>
    </x:row>
    <x:row r="84" ht="23" customHeight="1">
      <x:c r="A84" s="2"/>
      <x:c r="B84" s="2"/>
      <x:c r="C84" s="2"/>
      <x:c r="D84" s="4"/>
      <x:c r="E84" s="4"/>
      <x:c r="F84" s="4"/>
      <x:c r="G84" s="4"/>
      <x:c r="H84" s="4"/>
    </x:row>
    <x:row r="85" ht="23" customHeight="1">
      <x:c r="A85" s="2"/>
      <x:c r="B85" s="2"/>
      <x:c r="C85" s="2"/>
      <x:c r="D85" s="4"/>
      <x:c r="E85" s="4"/>
      <x:c r="F85" s="4"/>
      <x:c r="G85" s="4"/>
      <x:c r="H85" s="4"/>
    </x:row>
    <x:row r="86" ht="23" customHeight="1">
      <x:c r="A86" s="2"/>
      <x:c r="B86" s="2"/>
      <x:c r="C86" s="2"/>
      <x:c r="D86" s="4"/>
      <x:c r="E86" s="4"/>
      <x:c r="F86" s="4"/>
      <x:c r="G86" s="4"/>
      <x:c r="H86" s="4"/>
    </x:row>
    <x:row r="87" ht="23" customHeight="1">
      <x:c r="A87" s="2"/>
      <x:c r="B87" s="2"/>
      <x:c r="C87" s="2"/>
      <x:c r="D87" s="4"/>
      <x:c r="E87" s="4"/>
      <x:c r="F87" s="4"/>
      <x:c r="G87" s="4"/>
      <x:c r="H87" s="4"/>
    </x:row>
    <x:row r="88" ht="23" customHeight="1">
      <x:c r="A88" s="2"/>
      <x:c r="B88" s="2"/>
      <x:c r="C88" s="2"/>
      <x:c r="D88" s="4"/>
      <x:c r="E88" s="4"/>
      <x:c r="F88" s="4"/>
      <x:c r="G88" s="4"/>
      <x:c r="H88" s="4"/>
    </x:row>
    <x:row r="89" ht="23" customHeight="1">
      <x:c r="A89" s="2"/>
      <x:c r="B89" s="2"/>
      <x:c r="C89" s="2"/>
      <x:c r="D89" s="4"/>
      <x:c r="E89" s="4"/>
      <x:c r="F89" s="4"/>
      <x:c r="G89" s="4"/>
      <x:c r="H89" s="4"/>
    </x:row>
    <x:row r="90" ht="23" customHeight="1">
      <x:c r="A90" s="2"/>
      <x:c r="B90" s="2"/>
      <x:c r="C90" s="2"/>
      <x:c r="D90" s="4"/>
      <x:c r="E90" s="4"/>
      <x:c r="F90" s="4"/>
      <x:c r="G90" s="4"/>
      <x:c r="H90" s="4"/>
    </x:row>
  </x:sheetData>
  <x:conditionalFormatting sqref="H7:H30">
    <x:cfRule type="containsText" dxfId="0" priority="1" operator="containsText" text="Not independently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" hidden="0" customWidth="1"/>
    <x:col min="10" max="10" width="8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1" customHeight="1">
      <x:c r="A2" s="2"/>
      <x:c r="B2" s="2"/>
      <x:c r="C2" s="6" t="str">
        <x:v>Reconciliation and evidence gaps</x:v>
      </x:c>
      <x:c r="D2" s="6"/>
      <x:c r="E2" s="6"/>
      <x:c r="F2" s="6"/>
      <x:c r="G2" s="6"/>
      <x:c r="H2" s="6"/>
      <x:c r="I2" s="6"/>
      <x:c r="J2" s="6"/>
    </x:row>
    <x:row r="3" ht="22" customHeight="1">
      <x:c r="A3" s="2"/>
      <x:c r="B3" s="2"/>
      <x:c r="C3" s="10" t="str">
        <x:v>Differences compare the updated forecast with the frozen deck. The founder launch plan intentionally changes Year 1.</x:v>
      </x:c>
      <x:c r="D3" s="10"/>
      <x:c r="E3" s="10"/>
      <x:c r="F3" s="10"/>
      <x:c r="G3" s="10"/>
      <x:c r="H3" s="10"/>
      <x:c r="I3" s="2"/>
      <x:c r="J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2"/>
      <x:c r="B5" s="2"/>
      <x:c r="C5" s="15" t="str">
        <x:v>Check</x:v>
      </x:c>
      <x:c r="D5" s="15" t="str">
        <x:v>Year 1</x:v>
      </x:c>
      <x:c r="E5" s="15" t="str">
        <x:v>Year 2</x:v>
      </x:c>
      <x:c r="F5" s="15" t="str">
        <x:v>Year 3</x:v>
      </x:c>
      <x:c r="G5" s="15" t="str">
        <x:v>Year 4</x:v>
      </x:c>
      <x:c r="H5" s="15" t="str">
        <x:v>Year 5</x:v>
      </x:c>
      <x:c r="I5" s="2"/>
      <x:c r="J5" s="8" t="str">
        <x:v>Interpretation</x:v>
      </x:c>
    </x:row>
    <x:row r="6" ht="23" customHeight="1">
      <x:c r="A6" s="2"/>
      <x:c r="B6" s="2"/>
      <x:c r="C6" s="2"/>
      <x:c r="D6" s="4"/>
      <x:c r="E6" s="4"/>
      <x:c r="F6" s="4"/>
      <x:c r="G6" s="4"/>
      <x:c r="H6" s="4"/>
      <x:c r="I6" s="4"/>
      <x:c r="J6" s="9"/>
    </x:row>
    <x:row r="7" ht="34" customHeight="1">
      <x:c r="A7" s="2"/>
      <x:c r="B7" s="2"/>
      <x:c r="C7" s="2" t="str">
        <x:v>App annualized difference ($)</x:v>
      </x:c>
      <x:c r="D7" s="101" t="n">
        <x:f>IF(ISNUMBER('Revenue model'!D18),ROUND('Revenue model'!D18-'Evidence'!E43,2),"n.a.")</x:f>
        <x:v>0</x:v>
      </x:c>
      <x:c r="E7" s="101" t="n">
        <x:f>IF(ISNUMBER('Revenue model'!E18),ROUND('Revenue model'!E18-'Evidence'!F43,2),"n.a.")</x:f>
        <x:v>0</x:v>
      </x:c>
      <x:c r="F7" s="101" t="n">
        <x:f>IF(ISNUMBER('Revenue model'!F18),ROUND('Revenue model'!F18-'Evidence'!G43,2),"n.a.")</x:f>
        <x:v>0</x:v>
      </x:c>
      <x:c r="G7" s="101" t="n">
        <x:f>IF(ISNUMBER('Revenue model'!G18),ROUND('Revenue model'!G18-'Evidence'!H43,2),"n.a.")</x:f>
        <x:v>0</x:v>
      </x:c>
      <x:c r="H7" s="101" t="n">
        <x:f>IF(ISNUMBER('Revenue model'!H18),ROUND('Revenue model'!H18-'Evidence'!I43,2),"n.a.")</x:f>
        <x:v>0</x:v>
      </x:c>
      <x:c r="I7" s="4"/>
      <x:c r="J7" s="21" t="str">
        <x:v>The annualized targets for this stream retain the original deck assumptions.</x:v>
      </x:c>
    </x:row>
    <x:row r="8" ht="34" customHeight="1">
      <x:c r="A8" s="2"/>
      <x:c r="B8" s="2"/>
      <x:c r="C8" s="2" t="str">
        <x:v>Strategy annualized difference ($)</x:v>
      </x:c>
      <x:c r="D8" s="101" t="n">
        <x:f>IF(ISNUMBER('Revenue model'!D29),ROUND('Revenue model'!D29-'Evidence'!E44,2),"n.a.")</x:f>
        <x:v>600000</x:v>
      </x:c>
      <x:c r="E8" s="101" t="n">
        <x:f>IF(ISNUMBER('Revenue model'!E29),ROUND('Revenue model'!E29-'Evidence'!F44,2),"n.a.")</x:f>
        <x:v>0</x:v>
      </x:c>
      <x:c r="F8" s="101" t="n">
        <x:f>IF(ISNUMBER('Revenue model'!F29),ROUND('Revenue model'!F29-'Evidence'!G44,2),"n.a.")</x:f>
        <x:v>0</x:v>
      </x:c>
      <x:c r="G8" s="101" t="n">
        <x:f>IF(ISNUMBER('Revenue model'!G29),ROUND('Revenue model'!G29-'Evidence'!H44,2),"n.a.")</x:f>
        <x:v>0</x:v>
      </x:c>
      <x:c r="H8" s="101" t="n">
        <x:f>IF(ISNUMBER('Revenue model'!H29),ROUND('Revenue model'!H29-'Evidence'!I44,2),"n.a.")</x:f>
        <x:v>0</x:v>
      </x:c>
      <x:c r="I8" s="4"/>
      <x:c r="J8" s="21" t="str">
        <x:v>Year 1 increases by $600,000 with 500 customers at $500/month. Later-year goals retain the deck.</x:v>
      </x:c>
    </x:row>
    <x:row r="9" ht="34" customHeight="1">
      <x:c r="A9" s="2"/>
      <x:c r="B9" s="2"/>
      <x:c r="C9" s="2" t="str">
        <x:v>RIA annualized difference ($)</x:v>
      </x:c>
      <x:c r="D9" s="101" t="n">
        <x:f>IF(ISNUMBER('Revenue model'!D37),ROUND('Revenue model'!D37-'Evidence'!E45,2),"n.a.")</x:f>
        <x:v>0</x:v>
      </x:c>
      <x:c r="E9" s="101" t="n">
        <x:f>IF(ISNUMBER('Revenue model'!E37),ROUND('Revenue model'!E37-'Evidence'!F45,2),"n.a.")</x:f>
        <x:v>0</x:v>
      </x:c>
      <x:c r="F9" s="101" t="n">
        <x:f>IF(ISNUMBER('Revenue model'!F37),ROUND('Revenue model'!F37-'Evidence'!G45,2),"n.a.")</x:f>
        <x:v>0</x:v>
      </x:c>
      <x:c r="G9" s="101" t="n">
        <x:f>IF(ISNUMBER('Revenue model'!G37),ROUND('Revenue model'!G37-'Evidence'!H45,2),"n.a.")</x:f>
        <x:v>0</x:v>
      </x:c>
      <x:c r="H9" s="101" t="n">
        <x:f>IF(ISNUMBER('Revenue model'!H37),ROUND('Revenue model'!H37-'Evidence'!I45,2),"n.a.")</x:f>
        <x:v>0</x:v>
      </x:c>
      <x:c r="I9" s="4"/>
      <x:c r="J9" s="21" t="str">
        <x:v>The annualized targets for this stream retain the original deck assumptions.</x:v>
      </x:c>
    </x:row>
    <x:row r="10" ht="34" customHeight="1">
      <x:c r="A10" s="2"/>
      <x:c r="B10" s="2"/>
      <x:c r="C10" s="2" t="str">
        <x:v>Business annualized difference ($)</x:v>
      </x:c>
      <x:c r="D10" s="101" t="n">
        <x:f>IF(ISNUMBER('Revenue model'!D45),ROUND('Revenue model'!D45-'Evidence'!E46,2),"n.a.")</x:f>
        <x:v>0</x:v>
      </x:c>
      <x:c r="E10" s="101" t="n">
        <x:f>IF(ISNUMBER('Revenue model'!E45),ROUND('Revenue model'!E45-'Evidence'!F46,2),"n.a.")</x:f>
        <x:v>0</x:v>
      </x:c>
      <x:c r="F10" s="101" t="n">
        <x:f>IF(ISNUMBER('Revenue model'!F45),ROUND('Revenue model'!F45-'Evidence'!G46,2),"n.a.")</x:f>
        <x:v>0</x:v>
      </x:c>
      <x:c r="G10" s="101" t="n">
        <x:f>IF(ISNUMBER('Revenue model'!G45),ROUND('Revenue model'!G45-'Evidence'!H46,2),"n.a.")</x:f>
        <x:v>0</x:v>
      </x:c>
      <x:c r="H10" s="101" t="n">
        <x:f>IF(ISNUMBER('Revenue model'!H45),ROUND('Revenue model'!H45-'Evidence'!I46,2),"n.a.")</x:f>
        <x:v>0</x:v>
      </x:c>
      <x:c r="I10" s="4"/>
      <x:c r="J10" s="21" t="str">
        <x:v>The annualized targets for this stream retain the original deck assumptions.</x:v>
      </x:c>
    </x:row>
    <x:row r="11" ht="34" customHeight="1">
      <x:c r="A11" s="2"/>
      <x:c r="B11" s="2"/>
      <x:c r="C11" s="2" t="str">
        <x:v>Total annualized difference ($)</x:v>
      </x:c>
      <x:c r="D11" s="101" t="n">
        <x:f>IF(ISNUMBER('Revenue model'!D48),ROUND('Revenue model'!D48-'Evidence'!E47,2),"n.a.")</x:f>
        <x:v>600000</x:v>
      </x:c>
      <x:c r="E11" s="101" t="n">
        <x:f>IF(ISNUMBER('Revenue model'!E48),ROUND('Revenue model'!E48-'Evidence'!F47,2),"n.a.")</x:f>
        <x:v>0</x:v>
      </x:c>
      <x:c r="F11" s="101" t="n">
        <x:f>IF(ISNUMBER('Revenue model'!F48),ROUND('Revenue model'!F48-'Evidence'!G47,2),"n.a.")</x:f>
        <x:v>0</x:v>
      </x:c>
      <x:c r="G11" s="101" t="n">
        <x:f>IF(ISNUMBER('Revenue model'!G48),ROUND('Revenue model'!G48-'Evidence'!H47,2),"n.a.")</x:f>
        <x:v>0</x:v>
      </x:c>
      <x:c r="H11" s="101" t="n">
        <x:f>IF(ISNUMBER('Revenue model'!H48),ROUND('Revenue model'!H48-'Evidence'!I47,2),"n.a.")</x:f>
        <x:v>0</x:v>
      </x:c>
      <x:c r="I11" s="4"/>
      <x:c r="J11" s="21" t="str">
        <x:v>Year 1 total increases by the strategy launch adjustment. This is an intentional forecast change.</x:v>
      </x:c>
    </x:row>
    <x:row r="12" ht="23" customHeight="1">
      <x:c r="A12" s="2"/>
      <x:c r="B12" s="2"/>
      <x:c r="C12" s="2"/>
      <x:c r="D12" s="101"/>
      <x:c r="E12" s="101"/>
      <x:c r="F12" s="101"/>
      <x:c r="G12" s="101"/>
      <x:c r="H12" s="101"/>
      <x:c r="I12" s="4"/>
      <x:c r="J12" s="21"/>
    </x:row>
    <x:row r="13" ht="23" customHeight="1">
      <x:c r="A13" s="2"/>
      <x:c r="B13" s="2"/>
      <x:c r="C13" s="2" t="str">
        <x:v>Monthly revenue / P&amp;L difference ($)</x:v>
      </x:c>
      <x:c r="D13" s="101" t="n">
        <x:f>'Revenue model'!D47-'P&amp;L'!D12</x:f>
        <x:v>0</x:v>
      </x:c>
      <x:c r="E13" s="101" t="n">
        <x:f>'Revenue model'!E47-'P&amp;L'!E12</x:f>
        <x:v>0</x:v>
      </x:c>
      <x:c r="F13" s="101" t="n">
        <x:f>'Revenue model'!F47-'P&amp;L'!F12</x:f>
        <x:v>0</x:v>
      </x:c>
      <x:c r="G13" s="101" t="n">
        <x:f>'Revenue model'!G47-'P&amp;L'!G12</x:f>
        <x:v>0</x:v>
      </x:c>
      <x:c r="H13" s="101" t="n">
        <x:f>'Revenue model'!H47-'P&amp;L'!H12</x:f>
        <x:v>0</x:v>
      </x:c>
      <x:c r="I13" s="4"/>
      <x:c r="J13" s="21"/>
    </x:row>
    <x:row r="14" ht="23" customHeight="1">
      <x:c r="A14" s="2"/>
      <x:c r="B14" s="2"/>
      <x:c r="C14" s="2"/>
      <x:c r="D14" s="4"/>
      <x:c r="E14" s="4"/>
      <x:c r="F14" s="4"/>
      <x:c r="G14" s="4"/>
      <x:c r="H14" s="4"/>
      <x:c r="I14" s="4"/>
      <x:c r="J14" s="21"/>
    </x:row>
    <x:row r="15" ht="23" customHeight="1">
      <x:c r="A15" s="2"/>
      <x:c r="B15" s="2"/>
      <x:c r="C15" s="2" t="str">
        <x:v>Missing cost inputs (per year)</x:v>
      </x:c>
      <x:c r="D15" s="39" t="n">
        <x:f>12-COUNT('Assumptions'!D30:D41)</x:f>
        <x:v>12</x:v>
      </x:c>
      <x:c r="E15" s="39" t="n">
        <x:f>12-COUNT('Assumptions'!E30:E41)</x:f>
        <x:v>12</x:v>
      </x:c>
      <x:c r="F15" s="39" t="n">
        <x:f>12-COUNT('Assumptions'!F30:F41)</x:f>
        <x:v>12</x:v>
      </x:c>
      <x:c r="G15" s="39" t="n">
        <x:f>12-COUNT('Assumptions'!G30:G41)</x:f>
        <x:v>12</x:v>
      </x:c>
      <x:c r="H15" s="39" t="n">
        <x:f>12-COUNT('Assumptions'!H30:H41)</x:f>
        <x:v>12</x:v>
      </x:c>
      <x:c r="I15" s="4"/>
      <x:c r="J15" s="21" t="str">
        <x:v>Zero is required before the complete P&amp;L can be calculated.</x:v>
      </x:c>
    </x:row>
    <x:row r="16" ht="23" customHeight="1">
      <x:c r="A16" s="2"/>
      <x:c r="B16" s="2"/>
      <x:c r="C16" s="2"/>
      <x:c r="D16" s="4"/>
      <x:c r="E16" s="4"/>
      <x:c r="F16" s="4"/>
      <x:c r="G16" s="4"/>
      <x:c r="H16" s="4"/>
      <x:c r="I16" s="4"/>
      <x:c r="J16" s="21"/>
    </x:row>
    <x:row r="17" ht="23" customHeight="1">
      <x:c r="A17" s="2"/>
      <x:c r="B17" s="2"/>
      <x:c r="C17" s="2"/>
      <x:c r="D17" s="4"/>
      <x:c r="E17" s="4"/>
      <x:c r="F17" s="4"/>
      <x:c r="G17" s="4"/>
      <x:c r="H17" s="4"/>
      <x:c r="I17" s="4"/>
      <x:c r="J17" s="21"/>
    </x:row>
    <x:row r="18" ht="25" customHeight="1">
      <x:c r="A18" s="2"/>
      <x:c r="B18" s="2"/>
      <x:c r="C18" s="46" t="str">
        <x:v>Market calculations and observed activity</x:v>
      </x:c>
      <x:c r="D18" s="47"/>
      <x:c r="E18" s="47"/>
      <x:c r="F18" s="47"/>
      <x:c r="G18" s="47"/>
      <x:c r="H18" s="47"/>
      <x:c r="I18" s="4"/>
      <x:c r="J18" s="21"/>
    </x:row>
    <x:row r="19" ht="23" customHeight="1">
      <x:c r="A19" s="2"/>
      <x:c r="B19" s="2"/>
      <x:c r="C19" s="2"/>
      <x:c r="D19" s="4"/>
      <x:c r="E19" s="4"/>
      <x:c r="F19" s="4"/>
      <x:c r="G19" s="4"/>
      <x:c r="H19" s="4"/>
      <x:c r="I19" s="4"/>
      <x:c r="J19" s="21"/>
    </x:row>
    <x:row r="20" ht="38" customHeight="1">
      <x:c r="A20" s="2"/>
      <x:c r="B20" s="2"/>
      <x:c r="C20" s="2" t="str">
        <x:v>App tier mix total</x:v>
      </x:c>
      <x:c r="D20" s="72" t="n">
        <x:f>SUM('Evidence'!E17:E19)</x:f>
        <x:v>1</x:v>
      </x:c>
      <x:c r="E20" s="4"/>
      <x:c r="F20" s="4"/>
      <x:c r="G20" s="4"/>
      <x:c r="H20" s="4"/>
      <x:c r="I20" s="4"/>
      <x:c r="J20" s="21" t="str">
        <x:v>Should equal 100%.</x:v>
      </x:c>
    </x:row>
    <x:row r="21" ht="38" customHeight="1">
      <x:c r="A21" s="2"/>
      <x:c r="B21" s="2"/>
      <x:c r="C21" s="2" t="str">
        <x:v>Exact blended app price ($/month)</x:v>
      </x:c>
      <x:c r="D21" s="102" t="n">
        <x:f>SUMPRODUCT('Evidence'!E14:E16,'Evidence'!E17:E19)</x:f>
        <x:v>44.85</x:v>
      </x:c>
      <x:c r="E21" s="4"/>
      <x:c r="F21" s="4"/>
      <x:c r="G21" s="4"/>
      <x:c r="H21" s="4"/>
      <x:c r="I21" s="4"/>
      <x:c r="J21" s="21" t="str">
        <x:v>The forecast uses a rounded $45; do not describe that as an observed ARPU.</x:v>
      </x:c>
    </x:row>
    <x:row r="22" ht="38" customHeight="1">
      <x:c r="A22" s="2"/>
      <x:c r="B22" s="2"/>
      <x:c r="C22" s="2" t="str">
        <x:v>Year-5 app rounding difference ($)</x:v>
      </x:c>
      <x:c r="D22" s="86" t="n">
        <x:f>('Evidence'!E25-D21)*'Assumptions'!H7*12</x:f>
        <x:v>35999.999999999665</x:v>
      </x:c>
      <x:c r="E22" s="4"/>
      <x:c r="F22" s="4"/>
      <x:c r="G22" s="4"/>
      <x:c r="H22" s="4"/>
      <x:c r="I22" s="4"/>
      <x:c r="J22" s="21" t="str">
        <x:v>Difference caused by $45 rather than $44.85 at the Year-5 app target.</x:v>
      </x:c>
    </x:row>
    <x:row r="23" ht="38" customHeight="1">
      <x:c r="A23" s="2"/>
      <x:c r="B23" s="2"/>
      <x:c r="C23" s="2" t="str">
        <x:v>Upper SAM bundled app overlap ($)</x:v>
      </x:c>
      <x:c r="D23" s="86" t="n">
        <x:f>'Market sizing'!F20</x:f>
        <x:v>36527634</x:v>
      </x:c>
      <x:c r="E23" s="4"/>
      <x:c r="F23" s="4"/>
      <x:c r="G23" s="4"/>
      <x:c r="H23" s="4"/>
      <x:c r="I23" s="4"/>
      <x:c r="J23" s="21" t="str">
        <x:v>Remove this overlap if the strategy subscription includes app access.</x:v>
      </x:c>
    </x:row>
    <x:row r="24" ht="38" customHeight="1">
      <x:c r="A24" s="2"/>
      <x:c r="B24" s="2"/>
      <x:c r="C24" s="2" t="str">
        <x:v>SAM low, rounded to $0.1B ($)</x:v>
      </x:c>
      <x:c r="D24" s="103" t="n">
        <x:f>ROUND('Market sizing'!E37/1000000000,1)*1000000000</x:f>
        <x:v>4900000000</x:v>
      </x:c>
      <x:c r="E24" s="4"/>
      <x:c r="F24" s="4"/>
      <x:c r="G24" s="4"/>
      <x:c r="H24" s="4"/>
      <x:c r="I24" s="4"/>
      <x:c r="J24" s="21" t="str">
        <x:v>Normal rounding gives $4.9B; slide 6 currently shows $4.8B.</x:v>
      </x:c>
    </x:row>
    <x:row r="25" ht="38" customHeight="1">
      <x:c r="A25" s="2"/>
      <x:c r="B25" s="2"/>
      <x:c r="C25" s="2" t="str">
        <x:v>Rounded low SAM / slide difference</x:v>
      </x:c>
      <x:c r="D25" s="86" t="n">
        <x:f>D24-'Evidence'!E27</x:f>
        <x:v>100000000</x:v>
      </x:c>
      <x:c r="E25" s="4"/>
      <x:c r="F25" s="4"/>
      <x:c r="G25" s="4"/>
      <x:c r="H25" s="4"/>
      <x:c r="I25" s="4"/>
      <x:c r="J25" s="21" t="str">
        <x:v>Displays the exact delta to the slide headline in dollars.</x:v>
      </x:c>
    </x:row>
    <x:row r="26" ht="38" customHeight="1">
      <x:c r="A26" s="2"/>
      <x:c r="B26" s="2"/>
      <x:c r="C26" s="2" t="str">
        <x:v>Retail ARPA from SAM upper ($)</x:v>
      </x:c>
      <x:c r="D26" s="102" t="n">
        <x:f>'Market sizing'!F19/'Evidence'!E9</x:f>
        <x:v>658.2</x:v>
      </x:c>
      <x:c r="E26" s="4"/>
      <x:c r="F26" s="4"/>
      <x:c r="G26" s="4"/>
      <x:c r="H26" s="4"/>
      <x:c r="I26" s="4"/>
      <x:c r="J26" s="21" t="str">
        <x:v>Upper retail SAM averages the assumed app plus 1% strategy adoption.</x:v>
      </x:c>
    </x:row>
    <x:row r="27" ht="38" customHeight="1">
      <x:c r="A27" s="2"/>
      <x:c r="B27" s="2"/>
      <x:c r="C27" s="2" t="str">
        <x:v>Year-5 target / market retail ARPA</x:v>
      </x:c>
      <x:c r="D27" s="104" t="n">
        <x:f>'Market sizing'!F49/D26</x:f>
        <x:v>6.624126405347918</x:v>
      </x:c>
      <x:c r="E27" s="4"/>
      <x:c r="F27" s="4"/>
      <x:c r="G27" s="4"/>
      <x:c r="H27" s="4"/>
      <x:c r="I27" s="4"/>
      <x:c r="J27" s="21" t="str">
        <x:v>A premium-heavy target needs a different product mix than the market blend.</x:v>
      </x:c>
    </x:row>
    <x:row r="28" ht="38" customHeight="1">
      <x:c r="A28" s="2"/>
      <x:c r="B28" s="2"/>
      <x:c r="C28" s="2" t="str">
        <x:v>Clerk activity composition difference</x:v>
      </x:c>
      <x:c r="D28" s="105" t="n">
        <x:f>'Evidence'!E54-SUM('Evidence'!E55:E57)</x:f>
        <x:v>0</x:v>
      </x:c>
      <x:c r="E28" s="4"/>
      <x:c r="F28" s="4"/>
      <x:c r="G28" s="4"/>
      <x:c r="H28" s="4"/>
      <x:c r="I28" s="4"/>
      <x:c r="J28" s="21" t="str">
        <x:v>63 active = 37 new + 20 retained + 6 reactivated.</x:v>
      </x:c>
    </x:row>
    <x:row r="29" ht="38" customHeight="1">
      <x:c r="A29" s="2"/>
      <x:c r="B29" s="2"/>
      <x:c r="C29" s="2" t="str">
        <x:v>Weekly active / total registered</x:v>
      </x:c>
      <x:c r="D29" s="72" t="n">
        <x:f>'Evidence'!E54/'Evidence'!E53</x:f>
        <x:v>0.025069637883008356</x:v>
      </x:c>
      <x:c r="E29" s="4"/>
      <x:c r="F29" s="4"/>
      <x:c r="G29" s="4"/>
      <x:c r="H29" s="4"/>
      <x:c r="I29" s="4"/>
      <x:c r="J29" s="21" t="str">
        <x:v>Descriptive snapshot only. Not cohort retention, MAU or paid conversion.</x:v>
      </x:c>
    </x:row>
    <x:row r="30" ht="23" customHeight="1">
      <x:c r="A30" s="2"/>
      <x:c r="B30" s="2"/>
      <x:c r="C30" s="2"/>
      <x:c r="D30" s="4"/>
      <x:c r="E30" s="4"/>
      <x:c r="F30" s="4"/>
      <x:c r="G30" s="4"/>
      <x:c r="H30" s="4"/>
      <x:c r="I30" s="4"/>
      <x:c r="J30" s="4"/>
    </x:row>
    <x:row r="31" ht="23" customHeight="1">
      <x:c r="A31" s="2"/>
      <x:c r="B31" s="2"/>
      <x:c r="C31" s="2"/>
      <x:c r="D31" s="4"/>
      <x:c r="E31" s="4"/>
      <x:c r="F31" s="4"/>
      <x:c r="G31" s="4"/>
      <x:c r="H31" s="4"/>
      <x:c r="I31" s="4"/>
      <x:c r="J31" s="4"/>
    </x:row>
    <x:row r="32" ht="25" customHeight="1">
      <x:c r="A32" s="2"/>
      <x:c r="B32" s="2"/>
      <x:c r="C32" s="46" t="str">
        <x:v>Items needed before presenting a validated operating forecast</x:v>
      </x:c>
      <x:c r="D32" s="47"/>
      <x:c r="E32" s="47"/>
      <x:c r="F32" s="47"/>
      <x:c r="G32" s="47"/>
      <x:c r="H32" s="47"/>
      <x:c r="I32" s="4"/>
      <x:c r="J32" s="4"/>
    </x:row>
    <x:row r="33" ht="23" customHeight="1">
      <x:c r="A33" s="2"/>
      <x:c r="B33" s="2"/>
      <x:c r="C33" s="2"/>
      <x:c r="D33" s="4"/>
      <x:c r="E33" s="4"/>
      <x:c r="F33" s="4"/>
      <x:c r="G33" s="4"/>
      <x:c r="H33" s="4"/>
      <x:c r="I33" s="4"/>
      <x:c r="J33" s="4"/>
    </x:row>
    <x:row r="34" ht="50" customHeight="1">
      <x:c r="A34" s="2"/>
      <x:c r="B34" s="2"/>
      <x:c r="C34" s="106" t="str">
        <x:v>Paid conversion and churn</x:v>
      </x:c>
      <x:c r="D34" s="21" t="str">
        <x:v>Join Clerk user IDs to paid invoices, plan tier, first paid date, cancellations and refunds.</x:v>
      </x:c>
      <x:c r="E34" s="21"/>
      <x:c r="F34" s="21"/>
      <x:c r="G34" s="21"/>
      <x:c r="H34" s="21"/>
      <x:c r="I34" s="4"/>
      <x:c r="J34" s="4"/>
    </x:row>
    <x:row r="35" ht="50" customHeight="1">
      <x:c r="A35" s="2"/>
      <x:c r="B35" s="2"/>
      <x:c r="C35" s="106" t="str">
        <x:v>Revenue target feasibility</x:v>
      </x:c>
      <x:c r="D35" s="21" t="str">
        <x:v>Use qualified leads, partner reach and channel conversion to independently forecast gross additions.</x:v>
      </x:c>
      <x:c r="E35" s="21"/>
      <x:c r="F35" s="21"/>
      <x:c r="G35" s="21"/>
      <x:c r="H35" s="21"/>
      <x:c r="I35" s="4"/>
      <x:c r="J35" s="4"/>
    </x:row>
    <x:row r="36" ht="50" customHeight="1">
      <x:c r="A36" s="2"/>
      <x:c r="B36" s="2"/>
      <x:c r="C36" s="106" t="str">
        <x:v>Retention evidence</x:v>
      </x:c>
      <x:c r="D36" s="21" t="str">
        <x:v>7% after eight weeks measures product activity. Collect paid monthly subscriber and revenue retention.</x:v>
      </x:c>
      <x:c r="E36" s="21"/>
      <x:c r="F36" s="21"/>
      <x:c r="G36" s="21"/>
      <x:c r="H36" s="21"/>
      <x:c r="I36" s="4"/>
      <x:c r="J36" s="4"/>
    </x:row>
    <x:row r="37" ht="50" customHeight="1">
      <x:c r="A37" s="2"/>
      <x:c r="B37" s="2"/>
      <x:c r="C37" s="106" t="str">
        <x:v>Market serviceability</x:v>
      </x:c>
      <x:c r="D37" s="21" t="str">
        <x:v>Apply supported geography, product, platform and customer eligibility filters to the broad account and asset pools.</x:v>
      </x:c>
      <x:c r="E37" s="21"/>
      <x:c r="F37" s="21"/>
      <x:c r="G37" s="21"/>
      <x:c r="H37" s="21"/>
      <x:c r="I37" s="4"/>
      <x:c r="J37" s="4"/>
    </x:row>
    <x:row r="38" ht="50" customHeight="1">
      <x:c r="A38" s="2"/>
      <x:c r="B38" s="2"/>
      <x:c r="C38" s="106" t="str">
        <x:v>Premium strategy concentration</x:v>
      </x:c>
      <x:c r="D38" s="21" t="str">
        <x:v>Year-5 strategy revenue is $120M. Validate the $1,000 blended price and 10,000 subscriptions.</x:v>
      </x:c>
      <x:c r="E38" s="21"/>
      <x:c r="F38" s="21"/>
      <x:c r="G38" s="21"/>
      <x:c r="H38" s="21"/>
      <x:c r="I38" s="4"/>
      <x:c r="J38" s="4"/>
    </x:row>
    <x:row r="39" ht="50" customHeight="1">
      <x:c r="A39" s="2"/>
      <x:c r="B39" s="2"/>
      <x:c r="C39" s="106" t="str">
        <x:v>Corporate and RIA timing</x:v>
      </x:c>
      <x:c r="D39" s="21" t="str">
        <x:v>Use signed mandates, start dates and a product-access plan before calling these markets serviceable today.</x:v>
      </x:c>
      <x:c r="E39" s="21"/>
      <x:c r="F39" s="21"/>
      <x:c r="G39" s="21"/>
      <x:c r="H39" s="21"/>
      <x:c r="I39" s="4"/>
      <x:c r="J39" s="4"/>
    </x:row>
    <x:row r="40" ht="50" customHeight="1">
      <x:c r="A40" s="2"/>
      <x:c r="B40" s="2"/>
      <x:c r="C40" s="106" t="str">
        <x:v>Costs and runway</x:v>
      </x:c>
      <x:c r="D40" s="21" t="str">
        <x:v>Supply payroll, hosting, AI/API bills, commissions and acquisition spend. Add opening cash and funding timing for runway.</x:v>
      </x:c>
      <x:c r="E40" s="21"/>
      <x:c r="F40" s="21"/>
      <x:c r="G40" s="21"/>
      <x:c r="H40" s="21"/>
      <x:c r="I40" s="4"/>
      <x:c r="J40" s="4"/>
    </x:row>
    <x:row r="41" ht="50" customHeight="1">
      <x:c r="A41" s="2"/>
      <x:c r="B41" s="2"/>
      <x:c r="C41" s="106" t="str">
        <x:v>People versus subscriptions</x:v>
      </x:c>
      <x:c r="D41" s="21" t="str">
        <x:v>Clerk users, trading accounts and strategy subscriptions use different denominators. Do not report their sum as unique people.</x:v>
      </x:c>
      <x:c r="E41" s="21"/>
      <x:c r="F41" s="21"/>
      <x:c r="G41" s="21"/>
      <x:c r="H41" s="21"/>
      <x:c r="I41" s="4"/>
      <x:c r="J41" s="4"/>
    </x:row>
    <x:row r="42" ht="23" customHeight="1">
      <x:c r="A42" s="2"/>
      <x:c r="B42" s="2"/>
      <x:c r="C42" s="2"/>
      <x:c r="D42" s="4"/>
      <x:c r="E42" s="4"/>
      <x:c r="F42" s="4"/>
      <x:c r="G42" s="4"/>
      <x:c r="H42" s="4"/>
      <x:c r="I42" s="4"/>
      <x:c r="J42" s="4"/>
    </x:row>
    <x:row r="43" ht="23" customHeight="1">
      <x:c r="A43" s="2"/>
      <x:c r="B43" s="2"/>
      <x:c r="C43" s="2"/>
      <x:c r="D43" s="4"/>
      <x:c r="E43" s="4"/>
      <x:c r="F43" s="4"/>
      <x:c r="G43" s="4"/>
      <x:c r="H43" s="4"/>
      <x:c r="I43" s="4"/>
      <x:c r="J43" s="4"/>
    </x:row>
    <x:row r="44" ht="25" customHeight="1">
      <x:c r="A44" s="2"/>
      <x:c r="B44" s="2"/>
      <x:c r="C44" s="46" t="str">
        <x:v>Template observations</x:v>
      </x:c>
      <x:c r="D44" s="47"/>
      <x:c r="E44" s="47"/>
      <x:c r="F44" s="47"/>
      <x:c r="G44" s="47"/>
      <x:c r="H44" s="47"/>
      <x:c r="I44" s="4"/>
      <x:c r="J44" s="4"/>
    </x:row>
    <x:row r="45" ht="23" customHeight="1">
      <x:c r="A45" s="2"/>
      <x:c r="B45" s="2"/>
      <x:c r="C45" s="2"/>
      <x:c r="D45" s="4"/>
      <x:c r="E45" s="4"/>
      <x:c r="F45" s="4"/>
      <x:c r="G45" s="4"/>
      <x:c r="H45" s="4"/>
      <x:c r="I45" s="4"/>
      <x:c r="J45" s="4"/>
    </x:row>
    <x:row r="46" ht="40" customHeight="1">
      <x:c r="A46" s="2"/>
      <x:c r="B46" s="2"/>
      <x:c r="C46" s="106" t="str">
        <x:v>Reference: 36-month annual-contract cohort revenue plus staffing and P&amp;L. Adapted here to 60 months and four VibeTrader streams.</x:v>
      </x:c>
      <x:c r="D46" s="58"/>
      <x:c r="E46" s="58"/>
      <x:c r="F46" s="58"/>
      <x:c r="G46" s="58"/>
      <x:c r="H46" s="58"/>
      <x:c r="I46" s="4"/>
      <x:c r="J46" s="4"/>
    </x:row>
    <x:row r="47" ht="40" customHeight="1">
      <x:c r="A47" s="2"/>
      <x:c r="B47" s="2"/>
      <x:c r="C47" s="106" t="str">
        <x:v>Revenue model AI43:AL43 uses $AG$3 while AH43 uses $AH$3. Later months reference a different cohort booking.</x:v>
      </x:c>
      <x:c r="D47" s="58"/>
      <x:c r="E47" s="58"/>
      <x:c r="F47" s="58"/>
      <x:c r="G47" s="58"/>
      <x:c r="H47" s="58"/>
      <x:c r="I47" s="4"/>
      <x:c r="J47" s="4"/>
    </x:row>
    <x:row r="48" ht="40" customHeight="1">
      <x:c r="A48" s="2"/>
      <x:c r="B48" s="2"/>
      <x:c r="C48" s="106" t="str">
        <x:v>P&amp;L marketing row 7 uses next-month bookings through AJ7, then repeats AK4 in AK7. Lead timing should be explicit.</x:v>
      </x:c>
      <x:c r="D48" s="58"/>
      <x:c r="E48" s="58"/>
      <x:c r="F48" s="58"/>
      <x:c r="G48" s="58"/>
      <x:c r="H48" s="58"/>
      <x:c r="I48" s="4"/>
      <x:c r="J48" s="4"/>
    </x:row>
    <x:row r="49" ht="40" customHeight="1">
      <x:c r="A49" s="2"/>
      <x:c r="B49" s="2"/>
      <x:c r="C49" s="106" t="str">
        <x:v>P&amp;L cumulative cash is accumulated EBITDA. It omits working capital, capex, taxes and financing, so it is not a bank-cash forecast.</x:v>
      </x:c>
      <x:c r="D49" s="58"/>
      <x:c r="E49" s="58"/>
      <x:c r="F49" s="58"/>
      <x:c r="G49" s="58"/>
      <x:c r="H49" s="58"/>
      <x:c r="I49" s="4"/>
      <x:c r="J49" s="4"/>
    </x:row>
    <x:row r="50" ht="40" customHeight="1">
      <x:c r="A50" s="2"/>
      <x:c r="B50" s="2"/>
      <x:c r="C50" s="106" t="str">
        <x:v>The supplied template stays unchanged. Its sample unit prices, renewal rates and cost assumptions were not imported as facts.</x:v>
      </x:c>
      <x:c r="D50" s="58"/>
      <x:c r="E50" s="58"/>
      <x:c r="F50" s="58"/>
      <x:c r="G50" s="58"/>
      <x:c r="H50" s="58"/>
      <x:c r="I50" s="4"/>
      <x:c r="J50" s="4"/>
    </x:row>
    <x:row r="51" ht="23" customHeight="1">
      <x:c r="A51" s="2"/>
      <x:c r="B51" s="2"/>
      <x:c r="C51" s="2"/>
      <x:c r="D51" s="4"/>
      <x:c r="E51" s="4"/>
      <x:c r="F51" s="4"/>
      <x:c r="G51" s="4"/>
      <x:c r="H51" s="4"/>
      <x:c r="I51" s="4"/>
      <x:c r="J51" s="4"/>
    </x:row>
    <x:row r="52" ht="23" customHeight="1">
      <x:c r="A52" s="2"/>
      <x:c r="B52" s="2"/>
      <x:c r="C52" s="2"/>
      <x:c r="D52" s="4"/>
      <x:c r="E52" s="4"/>
      <x:c r="F52" s="4"/>
      <x:c r="G52" s="4"/>
      <x:c r="H52" s="4"/>
      <x:c r="I52" s="4"/>
      <x:c r="J52" s="4"/>
    </x:row>
    <x:row r="53" ht="22" customHeight="1">
      <x:c r="A53" s="2"/>
      <x:c r="B53" s="2"/>
      <x:c r="C53" s="10" t="str">
        <x:v>Formula recalculation and input-change checks passed in Artifact Tool. Desktop Excel was not available for native-engine verification.</x:v>
      </x:c>
      <x:c r="D53" s="50"/>
      <x:c r="E53" s="50"/>
      <x:c r="F53" s="50"/>
      <x:c r="G53" s="50"/>
      <x:c r="H53" s="50"/>
      <x:c r="I53" s="50"/>
      <x:c r="J53" s="50"/>
    </x:row>
    <x:row r="54" ht="23" customHeight="1">
      <x:c r="A54" s="2"/>
      <x:c r="B54" s="2"/>
      <x:c r="C54" s="2"/>
      <x:c r="D54" s="4"/>
      <x:c r="E54" s="4"/>
      <x:c r="F54" s="4"/>
      <x:c r="G54" s="4"/>
      <x:c r="H54" s="4"/>
      <x:c r="I54" s="4"/>
      <x:c r="J54" s="4"/>
    </x:row>
    <x:row r="55" ht="25" customHeight="1">
      <x:c r="A55" s="2"/>
      <x:c r="B55" s="2"/>
      <x:c r="C55" s="46" t="str">
        <x:v>Launch forecast checks</x:v>
      </x:c>
      <x:c r="D55" s="47"/>
      <x:c r="E55" s="47"/>
      <x:c r="F55" s="47"/>
      <x:c r="G55" s="47"/>
      <x:c r="H55" s="47"/>
      <x:c r="I55" s="4"/>
      <x:c r="J55" s="4"/>
    </x:row>
    <x:row r="56" ht="23" customHeight="1">
      <x:c r="A56" s="2"/>
      <x:c r="B56" s="2"/>
      <x:c r="C56" s="2"/>
      <x:c r="D56" s="4"/>
      <x:c r="E56" s="4"/>
      <x:c r="F56" s="4"/>
      <x:c r="G56" s="4"/>
      <x:c r="H56" s="4"/>
      <x:c r="I56" s="4"/>
      <x:c r="J56" s="4"/>
    </x:row>
    <x:row r="57" ht="40" customHeight="1">
      <x:c r="A57" s="2"/>
      <x:c r="B57" s="2"/>
      <x:c r="C57" s="2" t="str">
        <x:v>Strategy roll-forward difference</x:v>
      </x:c>
      <x:c r="D57" s="39" t="n">
        <x:f>'Revenue model'!U25-('Revenue model'!I25+SUM('Revenue model'!J24:U24)-SUM('Revenue model'!J23:U23))</x:f>
        <x:v>0</x:v>
      </x:c>
      <x:c r="E57" s="4"/>
      <x:c r="F57" s="4"/>
      <x:c r="G57" s="4"/>
      <x:c r="H57" s="4"/>
      <x:c r="I57" s="4"/>
      <x:c r="J57" s="21" t="str">
        <x:v>Zero confirms beginning customers + sales - cancellations = ending customers.</x:v>
      </x:c>
    </x:row>
    <x:row r="58" ht="40" customHeight="1">
      <x:c r="A58" s="2"/>
      <x:c r="B58" s="2"/>
      <x:c r="C58" s="2" t="str">
        <x:v>Year 1 excludes launch revenue</x:v>
      </x:c>
      <x:c r="D58" s="39" t="n">
        <x:f>'Revenue model'!D28-SUM('Revenue model'!J28:U28)</x:f>
        <x:v>0</x:v>
      </x:c>
      <x:c r="E58" s="4"/>
      <x:c r="F58" s="4"/>
      <x:c r="G58" s="4"/>
      <x:c r="H58" s="4"/>
      <x:c r="I58" s="4"/>
      <x:c r="J58" s="21" t="str">
        <x:v>Zero confirms that October launch revenue is not added to the 12-month annual figure.</x:v>
      </x:c>
    </x:row>
    <x:row r="59" ht="40" customHeight="1">
      <x:c r="A59" s="2"/>
      <x:c r="B59" s="2"/>
      <x:c r="C59" s="2" t="str">
        <x:v>First full year: monthly columns</x:v>
      </x:c>
      <x:c r="D59" s="39" t="n">
        <x:f>COLUMNS('Revenue model'!J5:U5)</x:f>
        <x:v>12</x:v>
      </x:c>
      <x:c r="E59" s="4"/>
      <x:c r="F59" s="4"/>
      <x:c r="G59" s="4"/>
      <x:c r="H59" s="4"/>
      <x:c r="I59" s="4"/>
      <x:c r="J59" s="21" t="str">
        <x:v>Must be 12. October 2026 launch is shown separately.</x:v>
      </x:c>
    </x:row>
    <x:row r="60" ht="40" customHeight="1">
      <x:c r="A60" s="2"/>
      <x:c r="B60" s="2"/>
      <x:c r="C60" s="2" t="str">
        <x:v>Strategy price within stated range</x:v>
      </x:c>
      <x:c r="D60" s="39" t="n">
        <x:f>IF(AND('Assumptions'!D10&gt;='Assumptions'!D56,'Assumptions'!D10&lt;='Assumptions'!D57),1,0)</x:f>
        <x:v>1</x:v>
      </x:c>
      <x:c r="E60" s="4"/>
      <x:c r="F60" s="4"/>
      <x:c r="G60" s="4"/>
      <x:c r="H60" s="4"/>
      <x:c r="I60" s="4"/>
      <x:c r="J60" s="21" t="str">
        <x:v>1 means the illustrative average is within $100-$2,500. It does not validate the actual mix.</x:v>
      </x:c>
    </x:row>
    <x:row r="61" ht="23" customHeight="1">
      <x:c r="A61" s="2"/>
      <x:c r="B61" s="2"/>
      <x:c r="C61" s="2"/>
      <x:c r="D61" s="4"/>
      <x:c r="E61" s="4"/>
      <x:c r="F61" s="4"/>
      <x:c r="G61" s="4"/>
      <x:c r="H61" s="4"/>
      <x:c r="I61" s="4"/>
      <x:c r="J61" s="4"/>
    </x:row>
    <x:row r="62" ht="23" customHeight="1">
      <x:c r="A62" s="2"/>
      <x:c r="B62" s="2"/>
      <x:c r="C62" s="2"/>
      <x:c r="D62" s="4"/>
      <x:c r="E62" s="4"/>
      <x:c r="F62" s="4"/>
      <x:c r="G62" s="4"/>
      <x:c r="H62" s="4"/>
      <x:c r="I62" s="4"/>
      <x:c r="J62" s="4"/>
    </x:row>
    <x:row r="63" ht="23" customHeight="1">
      <x:c r="A63" s="2"/>
      <x:c r="B63" s="2"/>
      <x:c r="C63" s="2"/>
      <x:c r="D63" s="4"/>
      <x:c r="E63" s="4"/>
      <x:c r="F63" s="4"/>
      <x:c r="G63" s="4"/>
      <x:c r="H63" s="4"/>
      <x:c r="I63" s="4"/>
      <x:c r="J63" s="4"/>
    </x:row>
    <x:row r="64" ht="23" customHeight="1">
      <x:c r="A64" s="2"/>
      <x:c r="B64" s="2"/>
      <x:c r="C64" s="2"/>
      <x:c r="D64" s="4"/>
      <x:c r="E64" s="4"/>
      <x:c r="F64" s="4"/>
      <x:c r="G64" s="4"/>
      <x:c r="H64" s="4"/>
      <x:c r="I64" s="4"/>
      <x:c r="J64" s="4"/>
    </x:row>
    <x:row r="65" ht="23" customHeight="1">
      <x:c r="A65" s="2"/>
      <x:c r="B65" s="2"/>
      <x:c r="C65" s="2"/>
      <x:c r="D65" s="4"/>
      <x:c r="E65" s="4"/>
      <x:c r="F65" s="4"/>
      <x:c r="G65" s="4"/>
      <x:c r="H65" s="4"/>
      <x:c r="I65" s="4"/>
      <x:c r="J65" s="4"/>
    </x:row>
    <x:row r="66" ht="23" customHeight="1">
      <x:c r="A66" s="2"/>
      <x:c r="B66" s="2"/>
      <x:c r="C66" s="2"/>
      <x:c r="D66" s="4"/>
      <x:c r="E66" s="4"/>
      <x:c r="F66" s="4"/>
      <x:c r="G66" s="4"/>
      <x:c r="H66" s="4"/>
      <x:c r="I66" s="4"/>
      <x:c r="J66" s="4"/>
    </x:row>
    <x:row r="67" ht="23" customHeight="1">
      <x:c r="A67" s="2"/>
      <x:c r="B67" s="2"/>
      <x:c r="C67" s="2"/>
      <x:c r="D67" s="4"/>
      <x:c r="E67" s="4"/>
      <x:c r="F67" s="4"/>
      <x:c r="G67" s="4"/>
      <x:c r="H67" s="4"/>
      <x:c r="I67" s="4"/>
      <x:c r="J67" s="4"/>
    </x:row>
    <x:row r="68" ht="23" customHeight="1">
      <x:c r="A68" s="2"/>
      <x:c r="B68" s="2"/>
      <x:c r="C68" s="2"/>
      <x:c r="D68" s="4"/>
      <x:c r="E68" s="4"/>
      <x:c r="F68" s="4"/>
      <x:c r="G68" s="4"/>
      <x:c r="H68" s="4"/>
      <x:c r="I68" s="4"/>
      <x:c r="J68" s="4"/>
    </x:row>
    <x:row r="69" ht="23" customHeight="1">
      <x:c r="A69" s="2"/>
      <x:c r="B69" s="2"/>
      <x:c r="C69" s="2"/>
      <x:c r="D69" s="4"/>
      <x:c r="E69" s="4"/>
      <x:c r="F69" s="4"/>
      <x:c r="G69" s="4"/>
      <x:c r="H69" s="4"/>
    </x:row>
    <x:row r="70" ht="23" customHeight="1">
      <x:c r="A70" s="2"/>
      <x:c r="B70" s="2"/>
      <x:c r="C70" s="2"/>
      <x:c r="D70" s="4"/>
      <x:c r="E70" s="4"/>
      <x:c r="F70" s="4"/>
      <x:c r="G70" s="4"/>
      <x:c r="H70" s="4"/>
    </x:row>
    <x:row r="71" ht="23" customHeight="1">
      <x:c r="A71" s="2"/>
      <x:c r="B71" s="2"/>
      <x:c r="C71" s="2"/>
      <x:c r="D71" s="4"/>
      <x:c r="E71" s="4"/>
      <x:c r="F71" s="4"/>
      <x:c r="G71" s="4"/>
      <x:c r="H71" s="4"/>
    </x:row>
    <x:row r="72" ht="23" customHeight="1">
      <x:c r="A72" s="2"/>
      <x:c r="B72" s="2"/>
      <x:c r="C72" s="2"/>
      <x:c r="D72" s="4"/>
      <x:c r="E72" s="4"/>
      <x:c r="F72" s="4"/>
      <x:c r="G72" s="4"/>
      <x:c r="H72" s="4"/>
    </x:row>
    <x:row r="73" ht="23" customHeight="1">
      <x:c r="A73" s="2"/>
      <x:c r="B73" s="2"/>
      <x:c r="C73" s="2"/>
      <x:c r="D73" s="4"/>
      <x:c r="E73" s="4"/>
      <x:c r="F73" s="4"/>
      <x:c r="G73" s="4"/>
      <x:c r="H73" s="4"/>
    </x:row>
    <x:row r="74" ht="23" customHeight="1">
      <x:c r="A74" s="2"/>
      <x:c r="B74" s="2"/>
      <x:c r="C74" s="2"/>
      <x:c r="D74" s="4"/>
      <x:c r="E74" s="4"/>
      <x:c r="F74" s="4"/>
      <x:c r="G74" s="4"/>
      <x:c r="H74" s="4"/>
    </x:row>
    <x:row r="75" ht="23" customHeight="1">
      <x:c r="A75" s="2"/>
      <x:c r="B75" s="2"/>
      <x:c r="C75" s="2"/>
      <x:c r="D75" s="4"/>
      <x:c r="E75" s="4"/>
      <x:c r="F75" s="4"/>
      <x:c r="G75" s="4"/>
      <x:c r="H75" s="4"/>
    </x:row>
    <x:row r="76" ht="23" customHeight="1">
      <x:c r="A76" s="2"/>
      <x:c r="B76" s="2"/>
      <x:c r="C76" s="2"/>
      <x:c r="D76" s="4"/>
      <x:c r="E76" s="4"/>
      <x:c r="F76" s="4"/>
      <x:c r="G76" s="4"/>
      <x:c r="H76" s="4"/>
    </x:row>
    <x:row r="77" ht="23" customHeight="1">
      <x:c r="A77" s="2"/>
      <x:c r="B77" s="2"/>
      <x:c r="C77" s="2"/>
      <x:c r="D77" s="4"/>
      <x:c r="E77" s="4"/>
      <x:c r="F77" s="4"/>
      <x:c r="G77" s="4"/>
      <x:c r="H77" s="4"/>
    </x:row>
    <x:row r="78" ht="23" customHeight="1">
      <x:c r="A78" s="2"/>
      <x:c r="B78" s="2"/>
      <x:c r="C78" s="2"/>
      <x:c r="D78" s="4"/>
      <x:c r="E78" s="4"/>
      <x:c r="F78" s="4"/>
      <x:c r="G78" s="4"/>
      <x:c r="H78" s="4"/>
    </x:row>
    <x:row r="79" ht="23" customHeight="1">
      <x:c r="A79" s="2"/>
      <x:c r="B79" s="2"/>
      <x:c r="C79" s="2"/>
      <x:c r="D79" s="4"/>
      <x:c r="E79" s="4"/>
      <x:c r="F79" s="4"/>
      <x:c r="G79" s="4"/>
      <x:c r="H79" s="4"/>
    </x:row>
    <x:row r="80" ht="23" customHeight="1">
      <x:c r="A80" s="2"/>
      <x:c r="B80" s="2"/>
      <x:c r="C80" s="2"/>
      <x:c r="D80" s="4"/>
      <x:c r="E80" s="4"/>
      <x:c r="F80" s="4"/>
      <x:c r="G80" s="4"/>
      <x:c r="H80" s="4"/>
    </x:row>
    <x:row r="81" ht="23" customHeight="1">
      <x:c r="A81" s="2"/>
      <x:c r="B81" s="2"/>
      <x:c r="C81" s="2"/>
      <x:c r="D81" s="4"/>
      <x:c r="E81" s="4"/>
      <x:c r="F81" s="4"/>
      <x:c r="G81" s="4"/>
      <x:c r="H81" s="4"/>
    </x:row>
    <x:row r="82" ht="23" customHeight="1">
      <x:c r="A82" s="2"/>
      <x:c r="B82" s="2"/>
      <x:c r="C82" s="2"/>
      <x:c r="D82" s="4"/>
      <x:c r="E82" s="4"/>
      <x:c r="F82" s="4"/>
      <x:c r="G82" s="4"/>
      <x:c r="H82" s="4"/>
    </x:row>
    <x:row r="83" ht="23" customHeight="1">
      <x:c r="A83" s="2"/>
      <x:c r="B83" s="2"/>
      <x:c r="C83" s="2"/>
      <x:c r="D83" s="4"/>
      <x:c r="E83" s="4"/>
      <x:c r="F83" s="4"/>
      <x:c r="G83" s="4"/>
      <x:c r="H83" s="4"/>
    </x:row>
    <x:row r="84" ht="23" customHeight="1">
      <x:c r="A84" s="2"/>
      <x:c r="B84" s="2"/>
      <x:c r="C84" s="2"/>
      <x:c r="D84" s="4"/>
      <x:c r="E84" s="4"/>
      <x:c r="F84" s="4"/>
      <x:c r="G84" s="4"/>
      <x:c r="H84" s="4"/>
    </x:row>
    <x:row r="85" ht="23" customHeight="1">
      <x:c r="A85" s="2"/>
      <x:c r="B85" s="2"/>
      <x:c r="C85" s="2"/>
      <x:c r="D85" s="4"/>
      <x:c r="E85" s="4"/>
      <x:c r="F85" s="4"/>
      <x:c r="G85" s="4"/>
      <x:c r="H85" s="4"/>
    </x:row>
    <x:row r="86" ht="23" customHeight="1">
      <x:c r="A86" s="2"/>
      <x:c r="B86" s="2"/>
      <x:c r="C86" s="2"/>
      <x:c r="D86" s="4"/>
      <x:c r="E86" s="4"/>
      <x:c r="F86" s="4"/>
      <x:c r="G86" s="4"/>
      <x:c r="H86" s="4"/>
    </x:row>
    <x:row r="87" ht="23" customHeight="1">
      <x:c r="A87" s="2"/>
      <x:c r="B87" s="2"/>
      <x:c r="C87" s="2"/>
      <x:c r="D87" s="4"/>
      <x:c r="E87" s="4"/>
      <x:c r="F87" s="4"/>
      <x:c r="G87" s="4"/>
      <x:c r="H87" s="4"/>
    </x:row>
    <x:row r="88" ht="23" customHeight="1">
      <x:c r="A88" s="2"/>
      <x:c r="B88" s="2"/>
      <x:c r="C88" s="2"/>
      <x:c r="D88" s="4"/>
      <x:c r="E88" s="4"/>
      <x:c r="F88" s="4"/>
      <x:c r="G88" s="4"/>
      <x:c r="H88" s="4"/>
    </x:row>
    <x:row r="89" ht="23" customHeight="1">
      <x:c r="A89" s="2"/>
      <x:c r="B89" s="2"/>
      <x:c r="C89" s="2"/>
      <x:c r="D89" s="4"/>
      <x:c r="E89" s="4"/>
      <x:c r="F89" s="4"/>
      <x:c r="G89" s="4"/>
      <x:c r="H89" s="4"/>
    </x:row>
    <x:row r="90" ht="23" customHeight="1">
      <x:c r="A90" s="2"/>
      <x:c r="B90" s="2"/>
      <x:c r="C90" s="2"/>
      <x:c r="D90" s="4"/>
      <x:c r="E90" s="4"/>
      <x:c r="F90" s="4"/>
      <x:c r="G90" s="4"/>
      <x:c r="H90" s="4"/>
    </x:row>
  </x:sheetData>
  <x:mergeCells>
    <x:mergeCell ref="D34:H34"/>
    <x:mergeCell ref="D35:H35"/>
    <x:mergeCell ref="D36:H36"/>
    <x:mergeCell ref="D37:H37"/>
    <x:mergeCell ref="D38:H38"/>
    <x:mergeCell ref="D39:H39"/>
    <x:mergeCell ref="D40:H40"/>
    <x:mergeCell ref="D41:H41"/>
    <x:mergeCell ref="C46:H46"/>
    <x:mergeCell ref="C47:H47"/>
    <x:mergeCell ref="C48:H48"/>
    <x:mergeCell ref="C49:H49"/>
    <x:mergeCell ref="C50:H50"/>
  </x:mergeCells>
  <x:conditionalFormatting sqref="D7:H11">
    <x:cfRule type="expression" dxfId="1" priority="1">
      <x:formula>ABS(D7)&gt;0.01</x:formula>
    </x:cfRule>
  </x:conditionalFormatting>
  <x:conditionalFormatting sqref="D13:H13">
    <x:cfRule type="expression" dxfId="2" priority="2">
      <x:formula>ABS(D13)&gt;0.01</x:formula>
    </x:cfRule>
  </x:conditionalFormatting>
  <x:conditionalFormatting sqref="D15:H15">
    <x:cfRule type="cellIs" dxfId="3" priority="3" operator="greaterThan">
      <x:formula>0</x:formula>
    </x:cfRule>
  </x:conditionalFormatting>
  <x:pageMargins left="0.7" right="0.7" top="0.75" bottom="0.75" header="0.3" footer="0.3"/>
</x:worksheet>
</file>