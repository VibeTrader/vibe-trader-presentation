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896c4930510b68/Desktop/Mentoring/Guides/"/>
    </mc:Choice>
  </mc:AlternateContent>
  <xr:revisionPtr revIDLastSave="203" documentId="13_ncr:1_{2B207807-F16F-4DCE-85FD-581D547BB9BC}" xr6:coauthVersionLast="47" xr6:coauthVersionMax="47" xr10:uidLastSave="{33033DB2-7010-4863-97E6-4713354E084B}"/>
  <bookViews>
    <workbookView xWindow="1215" yWindow="630" windowWidth="22320" windowHeight="14400" activeTab="1" xr2:uid="{E6327BC4-442B-4DB8-86A8-8777634DCCCB}"/>
  </bookViews>
  <sheets>
    <sheet name="Revenue model" sheetId="1" r:id="rId1"/>
    <sheet name="P&amp;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2" l="1"/>
  <c r="B17" i="2"/>
  <c r="B23" i="2" s="1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B53" i="2"/>
  <c r="Y19" i="2"/>
  <c r="AG19" i="2"/>
  <c r="D5" i="1"/>
  <c r="B25" i="2"/>
  <c r="C6" i="2"/>
  <c r="C19" i="2" s="1"/>
  <c r="D6" i="2"/>
  <c r="D19" i="2" s="1"/>
  <c r="E6" i="2"/>
  <c r="E19" i="2" s="1"/>
  <c r="F6" i="2"/>
  <c r="F19" i="2" s="1"/>
  <c r="G6" i="2"/>
  <c r="G19" i="2" s="1"/>
  <c r="H6" i="2"/>
  <c r="H19" i="2" s="1"/>
  <c r="I6" i="2"/>
  <c r="I19" i="2" s="1"/>
  <c r="J6" i="2"/>
  <c r="J19" i="2" s="1"/>
  <c r="K6" i="2"/>
  <c r="K19" i="2" s="1"/>
  <c r="L6" i="2"/>
  <c r="L19" i="2" s="1"/>
  <c r="M6" i="2"/>
  <c r="M19" i="2" s="1"/>
  <c r="N6" i="2"/>
  <c r="N19" i="2" s="1"/>
  <c r="O6" i="2"/>
  <c r="O19" i="2" s="1"/>
  <c r="P6" i="2"/>
  <c r="P19" i="2" s="1"/>
  <c r="Q6" i="2"/>
  <c r="Q19" i="2" s="1"/>
  <c r="R6" i="2"/>
  <c r="R19" i="2" s="1"/>
  <c r="S6" i="2"/>
  <c r="S19" i="2" s="1"/>
  <c r="T6" i="2"/>
  <c r="T19" i="2" s="1"/>
  <c r="U6" i="2"/>
  <c r="U19" i="2" s="1"/>
  <c r="V6" i="2"/>
  <c r="V19" i="2" s="1"/>
  <c r="W6" i="2"/>
  <c r="W19" i="2" s="1"/>
  <c r="X6" i="2"/>
  <c r="X19" i="2" s="1"/>
  <c r="Y6" i="2"/>
  <c r="Z6" i="2"/>
  <c r="Z19" i="2" s="1"/>
  <c r="AA6" i="2"/>
  <c r="AA19" i="2" s="1"/>
  <c r="AB6" i="2"/>
  <c r="AB19" i="2" s="1"/>
  <c r="AC6" i="2"/>
  <c r="AC19" i="2" s="1"/>
  <c r="AD6" i="2"/>
  <c r="AD19" i="2" s="1"/>
  <c r="AE6" i="2"/>
  <c r="AE19" i="2" s="1"/>
  <c r="AF6" i="2"/>
  <c r="AF19" i="2" s="1"/>
  <c r="AG6" i="2"/>
  <c r="AH6" i="2"/>
  <c r="AH19" i="2" s="1"/>
  <c r="AI6" i="2"/>
  <c r="AI19" i="2" s="1"/>
  <c r="AJ6" i="2"/>
  <c r="AJ19" i="2" s="1"/>
  <c r="AK6" i="2"/>
  <c r="AK19" i="2" s="1"/>
  <c r="E5" i="2"/>
  <c r="E12" i="2" s="1"/>
  <c r="F5" i="2"/>
  <c r="F13" i="2" s="1"/>
  <c r="G5" i="2"/>
  <c r="G12" i="2" s="1"/>
  <c r="H5" i="2"/>
  <c r="I5" i="2"/>
  <c r="I48" i="2" s="1"/>
  <c r="J5" i="2"/>
  <c r="J13" i="2" s="1"/>
  <c r="K5" i="2"/>
  <c r="K13" i="2" s="1"/>
  <c r="L5" i="2"/>
  <c r="L12" i="2" s="1"/>
  <c r="M5" i="2"/>
  <c r="M12" i="2" s="1"/>
  <c r="Q5" i="2"/>
  <c r="R5" i="2"/>
  <c r="R13" i="2" s="1"/>
  <c r="S5" i="2"/>
  <c r="S13" i="2" s="1"/>
  <c r="T5" i="2"/>
  <c r="T12" i="2" s="1"/>
  <c r="U5" i="2"/>
  <c r="U12" i="2" s="1"/>
  <c r="V5" i="2"/>
  <c r="V13" i="2" s="1"/>
  <c r="W5" i="2"/>
  <c r="W13" i="2" s="1"/>
  <c r="X5" i="2"/>
  <c r="Y5" i="2"/>
  <c r="Y13" i="2" s="1"/>
  <c r="Z5" i="2"/>
  <c r="Z13" i="2" s="1"/>
  <c r="AA5" i="2"/>
  <c r="AA13" i="2" s="1"/>
  <c r="AB5" i="2"/>
  <c r="AB12" i="2" s="1"/>
  <c r="AC5" i="2"/>
  <c r="AC12" i="2" s="1"/>
  <c r="AD5" i="2"/>
  <c r="AD13" i="2" s="1"/>
  <c r="AE5" i="2"/>
  <c r="AE12" i="2" s="1"/>
  <c r="AF5" i="2"/>
  <c r="AF13" i="2" s="1"/>
  <c r="AG5" i="2"/>
  <c r="AG13" i="2" s="1"/>
  <c r="AH5" i="2"/>
  <c r="AH13" i="2" s="1"/>
  <c r="AI5" i="2"/>
  <c r="AI13" i="2" s="1"/>
  <c r="AJ5" i="2"/>
  <c r="AJ12" i="2" s="1"/>
  <c r="AK5" i="2"/>
  <c r="AK12" i="2" s="1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J9" i="1"/>
  <c r="L9" i="1"/>
  <c r="M9" i="1"/>
  <c r="R9" i="1"/>
  <c r="T9" i="1"/>
  <c r="U9" i="1"/>
  <c r="Z9" i="1"/>
  <c r="AB9" i="1"/>
  <c r="AC9" i="1"/>
  <c r="AH9" i="1"/>
  <c r="AJ9" i="1"/>
  <c r="AK9" i="1"/>
  <c r="D8" i="1"/>
  <c r="D9" i="1" s="1"/>
  <c r="C5" i="2" s="1"/>
  <c r="C13" i="2" s="1"/>
  <c r="E8" i="1"/>
  <c r="F8" i="1"/>
  <c r="F9" i="1" s="1"/>
  <c r="G8" i="1"/>
  <c r="G9" i="1" s="1"/>
  <c r="H8" i="1"/>
  <c r="H9" i="1" s="1"/>
  <c r="I8" i="1"/>
  <c r="I9" i="1" s="1"/>
  <c r="J8" i="1"/>
  <c r="K8" i="1"/>
  <c r="K9" i="1" s="1"/>
  <c r="L8" i="1"/>
  <c r="M8" i="1"/>
  <c r="N8" i="1"/>
  <c r="N9" i="1" s="1"/>
  <c r="O8" i="1"/>
  <c r="P8" i="1"/>
  <c r="Q8" i="1"/>
  <c r="R8" i="1"/>
  <c r="S8" i="1"/>
  <c r="S9" i="1" s="1"/>
  <c r="T8" i="1"/>
  <c r="U8" i="1"/>
  <c r="V8" i="1"/>
  <c r="V9" i="1" s="1"/>
  <c r="W8" i="1"/>
  <c r="W9" i="1" s="1"/>
  <c r="X8" i="1"/>
  <c r="X9" i="1" s="1"/>
  <c r="Y8" i="1"/>
  <c r="Y9" i="1" s="1"/>
  <c r="Z8" i="1"/>
  <c r="AA8" i="1"/>
  <c r="AA9" i="1" s="1"/>
  <c r="AB8" i="1"/>
  <c r="AC8" i="1"/>
  <c r="AD8" i="1"/>
  <c r="AD9" i="1" s="1"/>
  <c r="AE8" i="1"/>
  <c r="AE9" i="1" s="1"/>
  <c r="AF8" i="1"/>
  <c r="AF9" i="1" s="1"/>
  <c r="AG8" i="1"/>
  <c r="AG9" i="1" s="1"/>
  <c r="AH8" i="1"/>
  <c r="AI8" i="1"/>
  <c r="AI9" i="1" s="1"/>
  <c r="AJ8" i="1"/>
  <c r="AK8" i="1"/>
  <c r="AL8" i="1"/>
  <c r="AL9" i="1" s="1"/>
  <c r="O54" i="1"/>
  <c r="D3" i="1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B52" i="2"/>
  <c r="B47" i="2"/>
  <c r="H4" i="2"/>
  <c r="G7" i="2" s="1"/>
  <c r="AH4" i="2"/>
  <c r="AF10" i="2" s="1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C1" i="2"/>
  <c r="D1" i="2" s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K47" i="2" s="1"/>
  <c r="AL73" i="1"/>
  <c r="AK73" i="1"/>
  <c r="AJ73" i="1"/>
  <c r="AI73" i="1"/>
  <c r="AH73" i="1"/>
  <c r="AG73" i="1"/>
  <c r="AF73" i="1"/>
  <c r="AE73" i="1"/>
  <c r="AD73" i="1"/>
  <c r="AC73" i="1"/>
  <c r="AB73" i="1"/>
  <c r="AA73" i="1"/>
  <c r="AK72" i="1"/>
  <c r="AJ72" i="1"/>
  <c r="AI72" i="1"/>
  <c r="AH72" i="1"/>
  <c r="AG72" i="1"/>
  <c r="AF72" i="1"/>
  <c r="AE72" i="1"/>
  <c r="AD72" i="1"/>
  <c r="AC72" i="1"/>
  <c r="AB72" i="1"/>
  <c r="AA72" i="1"/>
  <c r="AJ71" i="1"/>
  <c r="AI71" i="1"/>
  <c r="AH71" i="1"/>
  <c r="AG71" i="1"/>
  <c r="AF71" i="1"/>
  <c r="AE71" i="1"/>
  <c r="AD71" i="1"/>
  <c r="AC71" i="1"/>
  <c r="AB71" i="1"/>
  <c r="AA71" i="1"/>
  <c r="AI70" i="1"/>
  <c r="AH70" i="1"/>
  <c r="AG70" i="1"/>
  <c r="AF70" i="1"/>
  <c r="AE70" i="1"/>
  <c r="AD70" i="1"/>
  <c r="AC70" i="1"/>
  <c r="AB70" i="1"/>
  <c r="AA70" i="1"/>
  <c r="AH69" i="1"/>
  <c r="AG69" i="1"/>
  <c r="AF69" i="1"/>
  <c r="AE69" i="1"/>
  <c r="AD69" i="1"/>
  <c r="AC69" i="1"/>
  <c r="AB69" i="1"/>
  <c r="AA69" i="1"/>
  <c r="AG68" i="1"/>
  <c r="AF68" i="1"/>
  <c r="AE68" i="1"/>
  <c r="AD68" i="1"/>
  <c r="AC68" i="1"/>
  <c r="AB68" i="1"/>
  <c r="AA68" i="1"/>
  <c r="AF67" i="1"/>
  <c r="AE67" i="1"/>
  <c r="AD67" i="1"/>
  <c r="AC67" i="1"/>
  <c r="AB67" i="1"/>
  <c r="AA67" i="1"/>
  <c r="AE66" i="1"/>
  <c r="AD66" i="1"/>
  <c r="AC66" i="1"/>
  <c r="AB66" i="1"/>
  <c r="AA66" i="1"/>
  <c r="AF65" i="1"/>
  <c r="AD65" i="1"/>
  <c r="AC65" i="1"/>
  <c r="AB65" i="1"/>
  <c r="AA65" i="1"/>
  <c r="AJ64" i="1"/>
  <c r="AC64" i="1"/>
  <c r="AB64" i="1"/>
  <c r="AA64" i="1"/>
  <c r="AB63" i="1"/>
  <c r="AA63" i="1"/>
  <c r="AA62" i="1"/>
  <c r="O62" i="1"/>
  <c r="P62" i="1"/>
  <c r="Q62" i="1"/>
  <c r="R62" i="1"/>
  <c r="S62" i="1"/>
  <c r="T62" i="1"/>
  <c r="U62" i="1"/>
  <c r="V62" i="1"/>
  <c r="W62" i="1"/>
  <c r="X62" i="1"/>
  <c r="Y62" i="1"/>
  <c r="Z62" i="1"/>
  <c r="O63" i="1"/>
  <c r="P63" i="1"/>
  <c r="Q63" i="1"/>
  <c r="R63" i="1"/>
  <c r="S63" i="1"/>
  <c r="T63" i="1"/>
  <c r="U63" i="1"/>
  <c r="V63" i="1"/>
  <c r="W63" i="1"/>
  <c r="X63" i="1"/>
  <c r="Y63" i="1"/>
  <c r="Z63" i="1"/>
  <c r="O64" i="1"/>
  <c r="P64" i="1"/>
  <c r="Q64" i="1"/>
  <c r="R64" i="1"/>
  <c r="S64" i="1"/>
  <c r="T64" i="1"/>
  <c r="U64" i="1"/>
  <c r="V64" i="1"/>
  <c r="W64" i="1"/>
  <c r="X64" i="1"/>
  <c r="Y64" i="1"/>
  <c r="Z64" i="1"/>
  <c r="O65" i="1"/>
  <c r="P65" i="1"/>
  <c r="Q65" i="1"/>
  <c r="R65" i="1"/>
  <c r="S65" i="1"/>
  <c r="T65" i="1"/>
  <c r="U65" i="1"/>
  <c r="V65" i="1"/>
  <c r="W65" i="1"/>
  <c r="X65" i="1"/>
  <c r="Y65" i="1"/>
  <c r="Z65" i="1"/>
  <c r="O66" i="1"/>
  <c r="P66" i="1"/>
  <c r="Q66" i="1"/>
  <c r="R66" i="1"/>
  <c r="S66" i="1"/>
  <c r="T66" i="1"/>
  <c r="U66" i="1"/>
  <c r="V66" i="1"/>
  <c r="W66" i="1"/>
  <c r="X66" i="1"/>
  <c r="Y66" i="1"/>
  <c r="Z66" i="1"/>
  <c r="O67" i="1"/>
  <c r="P67" i="1"/>
  <c r="Q67" i="1"/>
  <c r="R67" i="1"/>
  <c r="S67" i="1"/>
  <c r="T67" i="1"/>
  <c r="U67" i="1"/>
  <c r="V67" i="1"/>
  <c r="W67" i="1"/>
  <c r="X67" i="1"/>
  <c r="Y67" i="1"/>
  <c r="Z67" i="1"/>
  <c r="O68" i="1"/>
  <c r="P68" i="1"/>
  <c r="Q68" i="1"/>
  <c r="R68" i="1"/>
  <c r="S68" i="1"/>
  <c r="T68" i="1"/>
  <c r="U68" i="1"/>
  <c r="V68" i="1"/>
  <c r="W68" i="1"/>
  <c r="X68" i="1"/>
  <c r="Y68" i="1"/>
  <c r="Z68" i="1"/>
  <c r="O69" i="1"/>
  <c r="P69" i="1"/>
  <c r="Q69" i="1"/>
  <c r="R69" i="1"/>
  <c r="S69" i="1"/>
  <c r="T69" i="1"/>
  <c r="U69" i="1"/>
  <c r="V69" i="1"/>
  <c r="W69" i="1"/>
  <c r="X69" i="1"/>
  <c r="Y69" i="1"/>
  <c r="Z69" i="1"/>
  <c r="O70" i="1"/>
  <c r="P70" i="1"/>
  <c r="Q70" i="1"/>
  <c r="R70" i="1"/>
  <c r="S70" i="1"/>
  <c r="T70" i="1"/>
  <c r="U70" i="1"/>
  <c r="V70" i="1"/>
  <c r="W70" i="1"/>
  <c r="X70" i="1"/>
  <c r="Y70" i="1"/>
  <c r="Z70" i="1"/>
  <c r="O71" i="1"/>
  <c r="P71" i="1"/>
  <c r="Q71" i="1"/>
  <c r="R71" i="1"/>
  <c r="S71" i="1"/>
  <c r="T71" i="1"/>
  <c r="U71" i="1"/>
  <c r="V71" i="1"/>
  <c r="W71" i="1"/>
  <c r="X71" i="1"/>
  <c r="Y71" i="1"/>
  <c r="Z71" i="1"/>
  <c r="O72" i="1"/>
  <c r="P72" i="1"/>
  <c r="Q72" i="1"/>
  <c r="R72" i="1"/>
  <c r="S72" i="1"/>
  <c r="T72" i="1"/>
  <c r="U72" i="1"/>
  <c r="V72" i="1"/>
  <c r="W72" i="1"/>
  <c r="X72" i="1"/>
  <c r="Y72" i="1"/>
  <c r="Z72" i="1"/>
  <c r="O73" i="1"/>
  <c r="P73" i="1"/>
  <c r="Q73" i="1"/>
  <c r="R73" i="1"/>
  <c r="S73" i="1"/>
  <c r="T73" i="1"/>
  <c r="U73" i="1"/>
  <c r="V73" i="1"/>
  <c r="W73" i="1"/>
  <c r="X73" i="1"/>
  <c r="Y73" i="1"/>
  <c r="Z73" i="1"/>
  <c r="P51" i="1"/>
  <c r="O52" i="1"/>
  <c r="P52" i="1"/>
  <c r="Q52" i="1"/>
  <c r="O53" i="1"/>
  <c r="P53" i="1"/>
  <c r="Q53" i="1"/>
  <c r="R53" i="1"/>
  <c r="P54" i="1"/>
  <c r="Q54" i="1"/>
  <c r="R54" i="1"/>
  <c r="S54" i="1"/>
  <c r="O55" i="1"/>
  <c r="P55" i="1"/>
  <c r="Q55" i="1"/>
  <c r="R55" i="1"/>
  <c r="S55" i="1"/>
  <c r="T55" i="1"/>
  <c r="O56" i="1"/>
  <c r="P56" i="1"/>
  <c r="Q56" i="1"/>
  <c r="R56" i="1"/>
  <c r="S56" i="1"/>
  <c r="T56" i="1"/>
  <c r="U56" i="1"/>
  <c r="O57" i="1"/>
  <c r="P57" i="1"/>
  <c r="P7" i="1" s="1"/>
  <c r="Q57" i="1"/>
  <c r="R57" i="1"/>
  <c r="S57" i="1"/>
  <c r="T57" i="1"/>
  <c r="U57" i="1"/>
  <c r="V57" i="1"/>
  <c r="O58" i="1"/>
  <c r="P58" i="1"/>
  <c r="Q58" i="1"/>
  <c r="R58" i="1"/>
  <c r="S58" i="1"/>
  <c r="T58" i="1"/>
  <c r="U58" i="1"/>
  <c r="V58" i="1"/>
  <c r="W58" i="1"/>
  <c r="O59" i="1"/>
  <c r="P59" i="1"/>
  <c r="Q59" i="1"/>
  <c r="R59" i="1"/>
  <c r="S59" i="1"/>
  <c r="T59" i="1"/>
  <c r="U59" i="1"/>
  <c r="V59" i="1"/>
  <c r="W59" i="1"/>
  <c r="X59" i="1"/>
  <c r="O60" i="1"/>
  <c r="P60" i="1"/>
  <c r="Q60" i="1"/>
  <c r="R60" i="1"/>
  <c r="S60" i="1"/>
  <c r="T60" i="1"/>
  <c r="U60" i="1"/>
  <c r="V60" i="1"/>
  <c r="W60" i="1"/>
  <c r="X60" i="1"/>
  <c r="Y60" i="1"/>
  <c r="O61" i="1"/>
  <c r="P61" i="1"/>
  <c r="Q61" i="1"/>
  <c r="R61" i="1"/>
  <c r="S61" i="1"/>
  <c r="T61" i="1"/>
  <c r="U61" i="1"/>
  <c r="V61" i="1"/>
  <c r="W61" i="1"/>
  <c r="X61" i="1"/>
  <c r="Y61" i="1"/>
  <c r="Z61" i="1"/>
  <c r="O50" i="1"/>
  <c r="P49" i="1"/>
  <c r="AB49" i="1" s="1"/>
  <c r="Q49" i="1"/>
  <c r="AC49" i="1" s="1"/>
  <c r="R49" i="1"/>
  <c r="AD49" i="1" s="1"/>
  <c r="S49" i="1"/>
  <c r="AE49" i="1" s="1"/>
  <c r="T49" i="1"/>
  <c r="AF49" i="1" s="1"/>
  <c r="U49" i="1"/>
  <c r="AG49" i="1" s="1"/>
  <c r="V49" i="1"/>
  <c r="AH49" i="1" s="1"/>
  <c r="W49" i="1"/>
  <c r="AI49" i="1" s="1"/>
  <c r="X49" i="1"/>
  <c r="AJ49" i="1" s="1"/>
  <c r="Y49" i="1"/>
  <c r="AK49" i="1" s="1"/>
  <c r="Z49" i="1"/>
  <c r="AL49" i="1" s="1"/>
  <c r="O49" i="1"/>
  <c r="AA49" i="1" s="1"/>
  <c r="C5" i="1"/>
  <c r="C9" i="1" s="1"/>
  <c r="AK40" i="1"/>
  <c r="L21" i="1"/>
  <c r="X58" i="1" s="1"/>
  <c r="AJ58" i="1" s="1"/>
  <c r="O19" i="1"/>
  <c r="AA56" i="1" s="1"/>
  <c r="AA3" i="1"/>
  <c r="AB36" i="1" s="1"/>
  <c r="AB3" i="1"/>
  <c r="AF37" i="1" s="1"/>
  <c r="AC3" i="1"/>
  <c r="AI38" i="1" s="1"/>
  <c r="AD3" i="1"/>
  <c r="AK39" i="1" s="1"/>
  <c r="AE3" i="1"/>
  <c r="AL40" i="1" s="1"/>
  <c r="AF3" i="1"/>
  <c r="AL41" i="1" s="1"/>
  <c r="AG3" i="1"/>
  <c r="AK42" i="1" s="1"/>
  <c r="AH3" i="1"/>
  <c r="AH43" i="1" s="1"/>
  <c r="AI3" i="1"/>
  <c r="AJ44" i="1" s="1"/>
  <c r="AJ3" i="1"/>
  <c r="AK45" i="1" s="1"/>
  <c r="AK3" i="1"/>
  <c r="AK46" i="1" s="1"/>
  <c r="AL3" i="1"/>
  <c r="AL47" i="1" s="1"/>
  <c r="K13" i="1"/>
  <c r="E3" i="1"/>
  <c r="F14" i="1" s="1"/>
  <c r="R51" i="1" s="1"/>
  <c r="AD51" i="1" s="1"/>
  <c r="F3" i="1"/>
  <c r="P15" i="1" s="1"/>
  <c r="AB52" i="1" s="1"/>
  <c r="G3" i="1"/>
  <c r="R16" i="1" s="1"/>
  <c r="H3" i="1"/>
  <c r="P17" i="1" s="1"/>
  <c r="AB54" i="1" s="1"/>
  <c r="I3" i="1"/>
  <c r="L18" i="1" s="1"/>
  <c r="X55" i="1" s="1"/>
  <c r="AJ55" i="1" s="1"/>
  <c r="J3" i="1"/>
  <c r="P19" i="1" s="1"/>
  <c r="AB56" i="1" s="1"/>
  <c r="K3" i="1"/>
  <c r="L20" i="1" s="1"/>
  <c r="X57" i="1" s="1"/>
  <c r="AJ57" i="1" s="1"/>
  <c r="L3" i="1"/>
  <c r="P21" i="1" s="1"/>
  <c r="AB58" i="1" s="1"/>
  <c r="M3" i="1"/>
  <c r="T22" i="1" s="1"/>
  <c r="AF59" i="1" s="1"/>
  <c r="N3" i="1"/>
  <c r="P23" i="1" s="1"/>
  <c r="AB60" i="1" s="1"/>
  <c r="O3" i="1"/>
  <c r="Z24" i="1" s="1"/>
  <c r="AL61" i="1" s="1"/>
  <c r="P3" i="1"/>
  <c r="X25" i="1" s="1"/>
  <c r="AJ62" i="1" s="1"/>
  <c r="Q3" i="1"/>
  <c r="T26" i="1" s="1"/>
  <c r="AF63" i="1" s="1"/>
  <c r="R3" i="1"/>
  <c r="X27" i="1" s="1"/>
  <c r="S3" i="1"/>
  <c r="T28" i="1" s="1"/>
  <c r="T3" i="1"/>
  <c r="X29" i="1" s="1"/>
  <c r="AJ66" i="1" s="1"/>
  <c r="U3" i="1"/>
  <c r="AB30" i="1" s="1"/>
  <c r="V3" i="1"/>
  <c r="X31" i="1" s="1"/>
  <c r="AJ68" i="1" s="1"/>
  <c r="W3" i="1"/>
  <c r="AH32" i="1" s="1"/>
  <c r="X3" i="1"/>
  <c r="AF33" i="1" s="1"/>
  <c r="Y3" i="1"/>
  <c r="AB34" i="1" s="1"/>
  <c r="Z3" i="1"/>
  <c r="AF35" i="1" s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X48" i="2" l="1"/>
  <c r="H48" i="2"/>
  <c r="AD12" i="2"/>
  <c r="Z12" i="2"/>
  <c r="AJ13" i="2"/>
  <c r="L13" i="2"/>
  <c r="W12" i="2"/>
  <c r="Q48" i="2"/>
  <c r="V12" i="2"/>
  <c r="AE13" i="2"/>
  <c r="G13" i="2"/>
  <c r="R12" i="2"/>
  <c r="T13" i="2"/>
  <c r="AB13" i="2"/>
  <c r="AH12" i="2"/>
  <c r="F12" i="2"/>
  <c r="J12" i="2"/>
  <c r="AG12" i="2"/>
  <c r="Y12" i="2"/>
  <c r="Q12" i="2"/>
  <c r="I12" i="2"/>
  <c r="C48" i="2"/>
  <c r="K48" i="2"/>
  <c r="AK13" i="2"/>
  <c r="AC13" i="2"/>
  <c r="U13" i="2"/>
  <c r="M13" i="2"/>
  <c r="E13" i="2"/>
  <c r="AF12" i="2"/>
  <c r="X12" i="2"/>
  <c r="H12" i="2"/>
  <c r="F10" i="2"/>
  <c r="AI48" i="2"/>
  <c r="AA48" i="2"/>
  <c r="S48" i="2"/>
  <c r="Q13" i="2"/>
  <c r="I13" i="2"/>
  <c r="F48" i="2"/>
  <c r="X13" i="2"/>
  <c r="H13" i="2"/>
  <c r="AI12" i="2"/>
  <c r="AA12" i="2"/>
  <c r="S12" i="2"/>
  <c r="K12" i="2"/>
  <c r="C12" i="2"/>
  <c r="AH48" i="2"/>
  <c r="Z48" i="2"/>
  <c r="R48" i="2"/>
  <c r="Y48" i="2"/>
  <c r="AG48" i="2"/>
  <c r="J48" i="2"/>
  <c r="E48" i="2"/>
  <c r="AD48" i="2"/>
  <c r="V48" i="2"/>
  <c r="AF48" i="2"/>
  <c r="P9" i="1"/>
  <c r="O5" i="2" s="1"/>
  <c r="AJ48" i="2"/>
  <c r="AB48" i="2"/>
  <c r="T48" i="2"/>
  <c r="L48" i="2"/>
  <c r="AE48" i="2"/>
  <c r="W48" i="2"/>
  <c r="G48" i="2"/>
  <c r="AK48" i="2"/>
  <c r="AC48" i="2"/>
  <c r="U48" i="2"/>
  <c r="M48" i="2"/>
  <c r="X47" i="2"/>
  <c r="P47" i="2"/>
  <c r="H47" i="2"/>
  <c r="AF47" i="2"/>
  <c r="AE47" i="2"/>
  <c r="W47" i="2"/>
  <c r="O47" i="2"/>
  <c r="G47" i="2"/>
  <c r="AD47" i="2"/>
  <c r="V47" i="2"/>
  <c r="N47" i="2"/>
  <c r="F47" i="2"/>
  <c r="U47" i="2"/>
  <c r="AJ47" i="2"/>
  <c r="AB47" i="2"/>
  <c r="T47" i="2"/>
  <c r="L47" i="2"/>
  <c r="D47" i="2"/>
  <c r="AI47" i="2"/>
  <c r="AA47" i="2"/>
  <c r="S47" i="2"/>
  <c r="K47" i="2"/>
  <c r="C47" i="2"/>
  <c r="M47" i="2"/>
  <c r="AH47" i="2"/>
  <c r="Z47" i="2"/>
  <c r="R47" i="2"/>
  <c r="J47" i="2"/>
  <c r="AC47" i="2"/>
  <c r="E47" i="2"/>
  <c r="AG47" i="2"/>
  <c r="Y47" i="2"/>
  <c r="Q47" i="2"/>
  <c r="I47" i="2"/>
  <c r="S26" i="1"/>
  <c r="AE63" i="1" s="1"/>
  <c r="AF4" i="2"/>
  <c r="AA28" i="1"/>
  <c r="Z4" i="2"/>
  <c r="AI34" i="1"/>
  <c r="X4" i="2"/>
  <c r="AE35" i="1"/>
  <c r="R4" i="2"/>
  <c r="R8" i="2" s="1"/>
  <c r="P4" i="2"/>
  <c r="AI44" i="1"/>
  <c r="J4" i="2"/>
  <c r="O7" i="1"/>
  <c r="O9" i="1" s="1"/>
  <c r="N5" i="2" s="1"/>
  <c r="O21" i="1"/>
  <c r="AA58" i="1" s="1"/>
  <c r="T29" i="1"/>
  <c r="AF66" i="1" s="1"/>
  <c r="AI36" i="1"/>
  <c r="AL46" i="1"/>
  <c r="S17" i="1"/>
  <c r="AE54" i="1" s="1"/>
  <c r="AE4" i="2"/>
  <c r="AC10" i="2" s="1"/>
  <c r="W4" i="2"/>
  <c r="O4" i="2"/>
  <c r="M10" i="2" s="1"/>
  <c r="M11" i="2" s="1"/>
  <c r="M17" i="2" s="1"/>
  <c r="G4" i="2"/>
  <c r="K16" i="1"/>
  <c r="W53" i="1" s="1"/>
  <c r="AI53" i="1" s="1"/>
  <c r="S22" i="1"/>
  <c r="AE59" i="1" s="1"/>
  <c r="W29" i="1"/>
  <c r="AI66" i="1" s="1"/>
  <c r="AB37" i="1"/>
  <c r="AA25" i="1"/>
  <c r="AD4" i="2"/>
  <c r="V4" i="2"/>
  <c r="N4" i="2"/>
  <c r="F4" i="2"/>
  <c r="D13" i="1"/>
  <c r="O17" i="1"/>
  <c r="AA54" i="1" s="1"/>
  <c r="S24" i="1"/>
  <c r="AE61" i="1" s="1"/>
  <c r="AA30" i="1"/>
  <c r="AE37" i="1"/>
  <c r="AI33" i="1"/>
  <c r="AK4" i="2"/>
  <c r="AC4" i="2"/>
  <c r="U4" i="2"/>
  <c r="M4" i="2"/>
  <c r="E4" i="2"/>
  <c r="J13" i="1"/>
  <c r="V50" i="1" s="1"/>
  <c r="S18" i="1"/>
  <c r="AE55" i="1" s="1"/>
  <c r="W25" i="1"/>
  <c r="AI62" i="1" s="1"/>
  <c r="AA32" i="1"/>
  <c r="AH38" i="1"/>
  <c r="AJ4" i="2"/>
  <c r="AB4" i="2"/>
  <c r="T4" i="2"/>
  <c r="L4" i="2"/>
  <c r="D4" i="2"/>
  <c r="M14" i="1"/>
  <c r="Y51" i="1" s="1"/>
  <c r="AK51" i="1" s="1"/>
  <c r="K18" i="1"/>
  <c r="W55" i="1" s="1"/>
  <c r="AI55" i="1" s="1"/>
  <c r="AA26" i="1"/>
  <c r="AE33" i="1"/>
  <c r="AJ39" i="1"/>
  <c r="AI4" i="2"/>
  <c r="AA4" i="2"/>
  <c r="S4" i="2"/>
  <c r="K4" i="2"/>
  <c r="C4" i="2"/>
  <c r="C8" i="2" s="1"/>
  <c r="S20" i="1"/>
  <c r="AE57" i="1" s="1"/>
  <c r="W27" i="1"/>
  <c r="AI64" i="1" s="1"/>
  <c r="AA34" i="1"/>
  <c r="AJ42" i="1"/>
  <c r="AG4" i="2"/>
  <c r="Y4" i="2"/>
  <c r="Q4" i="2"/>
  <c r="I4" i="2"/>
  <c r="H8" i="2"/>
  <c r="AH8" i="2"/>
  <c r="AF11" i="2"/>
  <c r="AF17" i="2" s="1"/>
  <c r="AG7" i="2"/>
  <c r="W50" i="1"/>
  <c r="AD53" i="1"/>
  <c r="O15" i="1"/>
  <c r="AA52" i="1" s="1"/>
  <c r="I13" i="1"/>
  <c r="L14" i="1"/>
  <c r="X51" i="1" s="1"/>
  <c r="AJ51" i="1" s="1"/>
  <c r="N15" i="1"/>
  <c r="Z52" i="1" s="1"/>
  <c r="AL52" i="1" s="1"/>
  <c r="G16" i="1"/>
  <c r="S53" i="1" s="1"/>
  <c r="AE53" i="1" s="1"/>
  <c r="J16" i="1"/>
  <c r="V53" i="1" s="1"/>
  <c r="AH53" i="1" s="1"/>
  <c r="N17" i="1"/>
  <c r="Z54" i="1" s="1"/>
  <c r="AL54" i="1" s="1"/>
  <c r="R18" i="1"/>
  <c r="AD55" i="1" s="1"/>
  <c r="J18" i="1"/>
  <c r="V55" i="1" s="1"/>
  <c r="AH55" i="1" s="1"/>
  <c r="N19" i="1"/>
  <c r="Z56" i="1" s="1"/>
  <c r="AL56" i="1" s="1"/>
  <c r="R20" i="1"/>
  <c r="AD57" i="1" s="1"/>
  <c r="V21" i="1"/>
  <c r="AH58" i="1" s="1"/>
  <c r="N21" i="1"/>
  <c r="Z58" i="1" s="1"/>
  <c r="AL58" i="1" s="1"/>
  <c r="R22" i="1"/>
  <c r="AD59" i="1" s="1"/>
  <c r="V23" i="1"/>
  <c r="AH60" i="1" s="1"/>
  <c r="O24" i="1"/>
  <c r="AA61" i="1" s="1"/>
  <c r="R24" i="1"/>
  <c r="AD61" i="1" s="1"/>
  <c r="V25" i="1"/>
  <c r="AH62" i="1" s="1"/>
  <c r="Z26" i="1"/>
  <c r="AL63" i="1" s="1"/>
  <c r="R26" i="1"/>
  <c r="AD63" i="1" s="1"/>
  <c r="V27" i="1"/>
  <c r="AH64" i="1" s="1"/>
  <c r="Z28" i="1"/>
  <c r="AL65" i="1" s="1"/>
  <c r="AD29" i="1"/>
  <c r="V29" i="1"/>
  <c r="AH66" i="1" s="1"/>
  <c r="Z30" i="1"/>
  <c r="AL67" i="1" s="1"/>
  <c r="AD31" i="1"/>
  <c r="W32" i="1"/>
  <c r="AI69" i="1" s="1"/>
  <c r="Z32" i="1"/>
  <c r="AL69" i="1" s="1"/>
  <c r="AD33" i="1"/>
  <c r="AH34" i="1"/>
  <c r="Z34" i="1"/>
  <c r="AL71" i="1" s="1"/>
  <c r="AD35" i="1"/>
  <c r="AH36" i="1"/>
  <c r="AL37" i="1"/>
  <c r="AD37" i="1"/>
  <c r="AG38" i="1"/>
  <c r="AI39" i="1"/>
  <c r="AJ40" i="1"/>
  <c r="AJ41" i="1"/>
  <c r="AI42" i="1"/>
  <c r="AL44" i="1"/>
  <c r="T18" i="1"/>
  <c r="AB26" i="1"/>
  <c r="AJ34" i="1"/>
  <c r="H13" i="1"/>
  <c r="K14" i="1"/>
  <c r="W51" i="1" s="1"/>
  <c r="AI51" i="1" s="1"/>
  <c r="M15" i="1"/>
  <c r="Y52" i="1" s="1"/>
  <c r="AK52" i="1" s="1"/>
  <c r="Q16" i="1"/>
  <c r="AC53" i="1" s="1"/>
  <c r="I16" i="1"/>
  <c r="U53" i="1" s="1"/>
  <c r="AG53" i="1" s="1"/>
  <c r="M17" i="1"/>
  <c r="Y54" i="1" s="1"/>
  <c r="AK54" i="1" s="1"/>
  <c r="Q18" i="1"/>
  <c r="AC55" i="1" s="1"/>
  <c r="J19" i="1"/>
  <c r="V56" i="1" s="1"/>
  <c r="AH56" i="1" s="1"/>
  <c r="M19" i="1"/>
  <c r="Y56" i="1" s="1"/>
  <c r="AK56" i="1" s="1"/>
  <c r="Q20" i="1"/>
  <c r="AC57" i="1" s="1"/>
  <c r="U21" i="1"/>
  <c r="AG58" i="1" s="1"/>
  <c r="M21" i="1"/>
  <c r="Y58" i="1" s="1"/>
  <c r="AK58" i="1" s="1"/>
  <c r="Q22" i="1"/>
  <c r="AC59" i="1" s="1"/>
  <c r="U23" i="1"/>
  <c r="AG60" i="1" s="1"/>
  <c r="Y24" i="1"/>
  <c r="AK61" i="1" s="1"/>
  <c r="Q24" i="1"/>
  <c r="AC61" i="1" s="1"/>
  <c r="U25" i="1"/>
  <c r="AG62" i="1" s="1"/>
  <c r="Y26" i="1"/>
  <c r="AK63" i="1" s="1"/>
  <c r="R27" i="1"/>
  <c r="AD64" i="1" s="1"/>
  <c r="U27" i="1"/>
  <c r="AG64" i="1" s="1"/>
  <c r="Y28" i="1"/>
  <c r="AK65" i="1" s="1"/>
  <c r="AC29" i="1"/>
  <c r="U29" i="1"/>
  <c r="AG66" i="1" s="1"/>
  <c r="Y30" i="1"/>
  <c r="AK67" i="1" s="1"/>
  <c r="AC31" i="1"/>
  <c r="AG32" i="1"/>
  <c r="Y32" i="1"/>
  <c r="AK69" i="1" s="1"/>
  <c r="AC33" i="1"/>
  <c r="AG34" i="1"/>
  <c r="Z35" i="1"/>
  <c r="AL72" i="1" s="1"/>
  <c r="AC35" i="1"/>
  <c r="AG36" i="1"/>
  <c r="AK37" i="1"/>
  <c r="AC37" i="1"/>
  <c r="AF38" i="1"/>
  <c r="AH39" i="1"/>
  <c r="AI40" i="1"/>
  <c r="AI41" i="1"/>
  <c r="AH42" i="1"/>
  <c r="AK44" i="1"/>
  <c r="P50" i="1"/>
  <c r="U19" i="1"/>
  <c r="AC27" i="1"/>
  <c r="AK35" i="1"/>
  <c r="G13" i="1"/>
  <c r="J14" i="1"/>
  <c r="V51" i="1" s="1"/>
  <c r="AH51" i="1" s="1"/>
  <c r="L15" i="1"/>
  <c r="X52" i="1" s="1"/>
  <c r="AJ52" i="1" s="1"/>
  <c r="P16" i="1"/>
  <c r="AB53" i="1" s="1"/>
  <c r="H16" i="1"/>
  <c r="T53" i="1" s="1"/>
  <c r="AF53" i="1" s="1"/>
  <c r="L17" i="1"/>
  <c r="X54" i="1" s="1"/>
  <c r="AJ54" i="1" s="1"/>
  <c r="P18" i="1"/>
  <c r="AB55" i="1" s="1"/>
  <c r="T19" i="1"/>
  <c r="AF56" i="1" s="1"/>
  <c r="L19" i="1"/>
  <c r="X56" i="1" s="1"/>
  <c r="AJ56" i="1" s="1"/>
  <c r="P20" i="1"/>
  <c r="AB57" i="1" s="1"/>
  <c r="T21" i="1"/>
  <c r="AF58" i="1" s="1"/>
  <c r="M22" i="1"/>
  <c r="Y59" i="1" s="1"/>
  <c r="AK59" i="1" s="1"/>
  <c r="P22" i="1"/>
  <c r="AB59" i="1" s="1"/>
  <c r="T23" i="1"/>
  <c r="AF60" i="1" s="1"/>
  <c r="X24" i="1"/>
  <c r="AJ61" i="1" s="1"/>
  <c r="P24" i="1"/>
  <c r="AB61" i="1" s="1"/>
  <c r="T25" i="1"/>
  <c r="AF62" i="1" s="1"/>
  <c r="X26" i="1"/>
  <c r="AJ63" i="1" s="1"/>
  <c r="AB27" i="1"/>
  <c r="T27" i="1"/>
  <c r="AF64" i="1" s="1"/>
  <c r="X28" i="1"/>
  <c r="AJ65" i="1" s="1"/>
  <c r="AB29" i="1"/>
  <c r="U30" i="1"/>
  <c r="AG67" i="1" s="1"/>
  <c r="X30" i="1"/>
  <c r="AJ67" i="1" s="1"/>
  <c r="AB31" i="1"/>
  <c r="AF32" i="1"/>
  <c r="X32" i="1"/>
  <c r="AJ69" i="1" s="1"/>
  <c r="AB33" i="1"/>
  <c r="AF34" i="1"/>
  <c r="AJ35" i="1"/>
  <c r="AB35" i="1"/>
  <c r="AF36" i="1"/>
  <c r="AJ37" i="1"/>
  <c r="AC38" i="1"/>
  <c r="AE38" i="1"/>
  <c r="AG39" i="1"/>
  <c r="AH40" i="1"/>
  <c r="AH41" i="1"/>
  <c r="AI43" i="1"/>
  <c r="V20" i="1"/>
  <c r="AD28" i="1"/>
  <c r="AL36" i="1"/>
  <c r="G15" i="1"/>
  <c r="S52" i="1" s="1"/>
  <c r="AE52" i="1" s="1"/>
  <c r="W23" i="1"/>
  <c r="AI60" i="1" s="1"/>
  <c r="N13" i="1"/>
  <c r="F13" i="1"/>
  <c r="I14" i="1"/>
  <c r="U51" i="1" s="1"/>
  <c r="AG51" i="1" s="1"/>
  <c r="K15" i="1"/>
  <c r="W52" i="1" s="1"/>
  <c r="AI52" i="1" s="1"/>
  <c r="O16" i="1"/>
  <c r="AA53" i="1" s="1"/>
  <c r="H17" i="1"/>
  <c r="T54" i="1" s="1"/>
  <c r="AF54" i="1" s="1"/>
  <c r="K17" i="1"/>
  <c r="W54" i="1" s="1"/>
  <c r="AI54" i="1" s="1"/>
  <c r="O18" i="1"/>
  <c r="AA55" i="1" s="1"/>
  <c r="S19" i="1"/>
  <c r="AE56" i="1" s="1"/>
  <c r="K19" i="1"/>
  <c r="W56" i="1" s="1"/>
  <c r="AI56" i="1" s="1"/>
  <c r="O20" i="1"/>
  <c r="AA57" i="1" s="1"/>
  <c r="S21" i="1"/>
  <c r="AE58" i="1" s="1"/>
  <c r="W22" i="1"/>
  <c r="AI59" i="1" s="1"/>
  <c r="O22" i="1"/>
  <c r="AA59" i="1" s="1"/>
  <c r="S23" i="1"/>
  <c r="AE60" i="1" s="1"/>
  <c r="W24" i="1"/>
  <c r="AI61" i="1" s="1"/>
  <c r="P25" i="1"/>
  <c r="AB62" i="1" s="1"/>
  <c r="S25" i="1"/>
  <c r="AE62" i="1" s="1"/>
  <c r="W26" i="1"/>
  <c r="AI63" i="1" s="1"/>
  <c r="AA27" i="1"/>
  <c r="S27" i="1"/>
  <c r="AE64" i="1" s="1"/>
  <c r="W28" i="1"/>
  <c r="AI65" i="1" s="1"/>
  <c r="AA29" i="1"/>
  <c r="AE30" i="1"/>
  <c r="W30" i="1"/>
  <c r="AI67" i="1" s="1"/>
  <c r="AA31" i="1"/>
  <c r="AE32" i="1"/>
  <c r="X33" i="1"/>
  <c r="AJ70" i="1" s="1"/>
  <c r="AA33" i="1"/>
  <c r="AE34" i="1"/>
  <c r="AI35" i="1"/>
  <c r="AA35" i="1"/>
  <c r="AE36" i="1"/>
  <c r="AI37" i="1"/>
  <c r="AL38" i="1"/>
  <c r="AD38" i="1"/>
  <c r="AF39" i="1"/>
  <c r="AG40" i="1"/>
  <c r="AG41" i="1"/>
  <c r="AJ43" i="1"/>
  <c r="AJ45" i="1"/>
  <c r="O13" i="1"/>
  <c r="W21" i="1"/>
  <c r="AE29" i="1"/>
  <c r="F15" i="1"/>
  <c r="R52" i="1" s="1"/>
  <c r="AD52" i="1" s="1"/>
  <c r="AK41" i="1"/>
  <c r="M13" i="1"/>
  <c r="E13" i="1"/>
  <c r="H14" i="1"/>
  <c r="T51" i="1" s="1"/>
  <c r="AF51" i="1" s="1"/>
  <c r="J15" i="1"/>
  <c r="V52" i="1" s="1"/>
  <c r="AH52" i="1" s="1"/>
  <c r="N16" i="1"/>
  <c r="Z53" i="1" s="1"/>
  <c r="AL53" i="1" s="1"/>
  <c r="R17" i="1"/>
  <c r="AD54" i="1" s="1"/>
  <c r="J17" i="1"/>
  <c r="V54" i="1" s="1"/>
  <c r="AH54" i="1" s="1"/>
  <c r="N18" i="1"/>
  <c r="Z55" i="1" s="1"/>
  <c r="AL55" i="1" s="1"/>
  <c r="R19" i="1"/>
  <c r="AD56" i="1" s="1"/>
  <c r="K20" i="1"/>
  <c r="W57" i="1" s="1"/>
  <c r="AI57" i="1" s="1"/>
  <c r="N20" i="1"/>
  <c r="Z57" i="1" s="1"/>
  <c r="AL57" i="1" s="1"/>
  <c r="R21" i="1"/>
  <c r="AD58" i="1" s="1"/>
  <c r="V22" i="1"/>
  <c r="AH59" i="1" s="1"/>
  <c r="N22" i="1"/>
  <c r="Z59" i="1" s="1"/>
  <c r="AL59" i="1" s="1"/>
  <c r="R23" i="1"/>
  <c r="AD60" i="1" s="1"/>
  <c r="V24" i="1"/>
  <c r="AH61" i="1" s="1"/>
  <c r="Z25" i="1"/>
  <c r="R25" i="1"/>
  <c r="AD62" i="1" s="1"/>
  <c r="V26" i="1"/>
  <c r="AH63" i="1" s="1"/>
  <c r="Z27" i="1"/>
  <c r="AL64" i="1" s="1"/>
  <c r="S28" i="1"/>
  <c r="AE65" i="1" s="1"/>
  <c r="V28" i="1"/>
  <c r="AH65" i="1" s="1"/>
  <c r="Z29" i="1"/>
  <c r="AL66" i="1" s="1"/>
  <c r="AD30" i="1"/>
  <c r="V30" i="1"/>
  <c r="AH67" i="1" s="1"/>
  <c r="Z31" i="1"/>
  <c r="AL68" i="1" s="1"/>
  <c r="AD32" i="1"/>
  <c r="AH33" i="1"/>
  <c r="Z33" i="1"/>
  <c r="AL70" i="1" s="1"/>
  <c r="AD34" i="1"/>
  <c r="AH35" i="1"/>
  <c r="AA36" i="1"/>
  <c r="AD36" i="1"/>
  <c r="AH37" i="1"/>
  <c r="AK38" i="1"/>
  <c r="AD39" i="1"/>
  <c r="AE39" i="1"/>
  <c r="AF40" i="1"/>
  <c r="AG42" i="1"/>
  <c r="AK43" i="1"/>
  <c r="AL45" i="1"/>
  <c r="P14" i="1"/>
  <c r="X22" i="1"/>
  <c r="AF30" i="1"/>
  <c r="W31" i="1"/>
  <c r="AI68" i="1" s="1"/>
  <c r="L13" i="1"/>
  <c r="E14" i="1"/>
  <c r="Q51" i="1" s="1"/>
  <c r="AC51" i="1" s="1"/>
  <c r="G14" i="1"/>
  <c r="S51" i="1" s="1"/>
  <c r="AE51" i="1" s="1"/>
  <c r="I15" i="1"/>
  <c r="U52" i="1" s="1"/>
  <c r="AG52" i="1" s="1"/>
  <c r="O14" i="1"/>
  <c r="AA51" i="1" s="1"/>
  <c r="M16" i="1"/>
  <c r="Y53" i="1" s="1"/>
  <c r="AK53" i="1" s="1"/>
  <c r="Q17" i="1"/>
  <c r="AC54" i="1" s="1"/>
  <c r="I17" i="1"/>
  <c r="U54" i="1" s="1"/>
  <c r="AG54" i="1" s="1"/>
  <c r="M18" i="1"/>
  <c r="Y55" i="1" s="1"/>
  <c r="AK55" i="1" s="1"/>
  <c r="Q19" i="1"/>
  <c r="AC56" i="1" s="1"/>
  <c r="U20" i="1"/>
  <c r="AG57" i="1" s="1"/>
  <c r="M20" i="1"/>
  <c r="Y57" i="1" s="1"/>
  <c r="AK57" i="1" s="1"/>
  <c r="Q21" i="1"/>
  <c r="AC58" i="1" s="1"/>
  <c r="U22" i="1"/>
  <c r="AG59" i="1" s="1"/>
  <c r="N23" i="1"/>
  <c r="Z60" i="1" s="1"/>
  <c r="AL60" i="1" s="1"/>
  <c r="Q23" i="1"/>
  <c r="AC60" i="1" s="1"/>
  <c r="U24" i="1"/>
  <c r="AG61" i="1" s="1"/>
  <c r="Y25" i="1"/>
  <c r="AK62" i="1" s="1"/>
  <c r="Q25" i="1"/>
  <c r="AC62" i="1" s="1"/>
  <c r="U26" i="1"/>
  <c r="AG63" i="1" s="1"/>
  <c r="Y27" i="1"/>
  <c r="AK64" i="1" s="1"/>
  <c r="AC28" i="1"/>
  <c r="U28" i="1"/>
  <c r="AG65" i="1" s="1"/>
  <c r="Y29" i="1"/>
  <c r="AK66" i="1" s="1"/>
  <c r="AC30" i="1"/>
  <c r="V31" i="1"/>
  <c r="AH68" i="1" s="1"/>
  <c r="Y31" i="1"/>
  <c r="AK68" i="1" s="1"/>
  <c r="AC32" i="1"/>
  <c r="AG33" i="1"/>
  <c r="Y33" i="1"/>
  <c r="AK70" i="1" s="1"/>
  <c r="AC34" i="1"/>
  <c r="AG35" i="1"/>
  <c r="AK36" i="1"/>
  <c r="AC36" i="1"/>
  <c r="AG37" i="1"/>
  <c r="AJ38" i="1"/>
  <c r="AL39" i="1"/>
  <c r="AE40" i="1"/>
  <c r="AF41" i="1"/>
  <c r="AL42" i="1"/>
  <c r="AL43" i="1"/>
  <c r="Q15" i="1"/>
  <c r="Y23" i="1"/>
  <c r="AG31" i="1"/>
  <c r="O23" i="1"/>
  <c r="AA60" i="1" s="1"/>
  <c r="AE31" i="1"/>
  <c r="N14" i="1"/>
  <c r="Z51" i="1" s="1"/>
  <c r="AL51" i="1" s="1"/>
  <c r="H15" i="1"/>
  <c r="T52" i="1" s="1"/>
  <c r="AF52" i="1" s="1"/>
  <c r="L16" i="1"/>
  <c r="X53" i="1" s="1"/>
  <c r="AJ53" i="1" s="1"/>
  <c r="I18" i="1"/>
  <c r="U55" i="1" s="1"/>
  <c r="AG55" i="1" s="1"/>
  <c r="T20" i="1"/>
  <c r="AF57" i="1" s="1"/>
  <c r="X23" i="1"/>
  <c r="AJ60" i="1" s="1"/>
  <c r="T24" i="1"/>
  <c r="AF61" i="1" s="1"/>
  <c r="Q26" i="1"/>
  <c r="AC63" i="1" s="1"/>
  <c r="AB28" i="1"/>
  <c r="AF31" i="1"/>
  <c r="AB32" i="1"/>
  <c r="Y34" i="1"/>
  <c r="AK71" i="1" s="1"/>
  <c r="AJ36" i="1"/>
  <c r="T8" i="2" l="1"/>
  <c r="R10" i="2"/>
  <c r="AA8" i="2"/>
  <c r="Y10" i="2"/>
  <c r="AD10" i="2"/>
  <c r="AD11" i="2" s="1"/>
  <c r="AD17" i="2" s="1"/>
  <c r="AI8" i="2"/>
  <c r="AG10" i="2"/>
  <c r="AG11" i="2" s="1"/>
  <c r="AG17" i="2" s="1"/>
  <c r="N10" i="2"/>
  <c r="N11" i="2" s="1"/>
  <c r="N17" i="2" s="1"/>
  <c r="P10" i="2"/>
  <c r="P11" i="2" s="1"/>
  <c r="P17" i="2" s="1"/>
  <c r="AJ8" i="2"/>
  <c r="AH10" i="2"/>
  <c r="AC8" i="2"/>
  <c r="AA10" i="2"/>
  <c r="AA11" i="2" s="1"/>
  <c r="AA17" i="2" s="1"/>
  <c r="D10" i="2"/>
  <c r="D11" i="2" s="1"/>
  <c r="D17" i="2" s="1"/>
  <c r="V10" i="2"/>
  <c r="V11" i="2" s="1"/>
  <c r="V17" i="2" s="1"/>
  <c r="AE10" i="2"/>
  <c r="AE11" i="2" s="1"/>
  <c r="AE17" i="2" s="1"/>
  <c r="L8" i="2"/>
  <c r="J10" i="2"/>
  <c r="J11" i="2" s="1"/>
  <c r="J17" i="2" s="1"/>
  <c r="O48" i="2"/>
  <c r="O12" i="2"/>
  <c r="O13" i="2"/>
  <c r="E8" i="2"/>
  <c r="C10" i="2"/>
  <c r="C11" i="2" s="1"/>
  <c r="C17" i="2" s="1"/>
  <c r="AB8" i="2"/>
  <c r="Z10" i="2"/>
  <c r="Z11" i="2" s="1"/>
  <c r="Z17" i="2" s="1"/>
  <c r="U8" i="2"/>
  <c r="S10" i="2"/>
  <c r="S11" i="2" s="1"/>
  <c r="S17" i="2" s="1"/>
  <c r="H7" i="2"/>
  <c r="G10" i="2"/>
  <c r="G11" i="2" s="1"/>
  <c r="G17" i="2" s="1"/>
  <c r="AK8" i="2"/>
  <c r="AI10" i="2"/>
  <c r="AJ10" i="2" s="1"/>
  <c r="AK10" i="2" s="1"/>
  <c r="AK11" i="2" s="1"/>
  <c r="AK17" i="2" s="1"/>
  <c r="N8" i="2"/>
  <c r="L10" i="2"/>
  <c r="F7" i="2"/>
  <c r="E10" i="2"/>
  <c r="E11" i="2" s="1"/>
  <c r="E17" i="2" s="1"/>
  <c r="M8" i="2"/>
  <c r="K10" i="2"/>
  <c r="K11" i="2" s="1"/>
  <c r="K17" i="2" s="1"/>
  <c r="O10" i="2"/>
  <c r="O11" i="2" s="1"/>
  <c r="O17" i="2" s="1"/>
  <c r="K8" i="2"/>
  <c r="I10" i="2"/>
  <c r="I11" i="2" s="1"/>
  <c r="I17" i="2" s="1"/>
  <c r="V8" i="2"/>
  <c r="T10" i="2"/>
  <c r="T11" i="2" s="1"/>
  <c r="T17" i="2" s="1"/>
  <c r="N48" i="2"/>
  <c r="N12" i="2"/>
  <c r="N13" i="2"/>
  <c r="X10" i="2"/>
  <c r="X11" i="2" s="1"/>
  <c r="X17" i="2" s="1"/>
  <c r="W10" i="2"/>
  <c r="W11" i="2" s="1"/>
  <c r="W17" i="2" s="1"/>
  <c r="S8" i="2"/>
  <c r="Q10" i="2"/>
  <c r="Q11" i="2" s="1"/>
  <c r="Q17" i="2" s="1"/>
  <c r="D8" i="2"/>
  <c r="B11" i="2"/>
  <c r="AD8" i="2"/>
  <c r="AB10" i="2"/>
  <c r="AB11" i="2" s="1"/>
  <c r="AB17" i="2" s="1"/>
  <c r="U10" i="2"/>
  <c r="U11" i="2" s="1"/>
  <c r="U17" i="2" s="1"/>
  <c r="H10" i="2"/>
  <c r="H11" i="2" s="1"/>
  <c r="H17" i="2" s="1"/>
  <c r="Z7" i="2"/>
  <c r="Q7" i="2"/>
  <c r="T7" i="2"/>
  <c r="Y7" i="2"/>
  <c r="Y11" i="2"/>
  <c r="Y17" i="2" s="1"/>
  <c r="I8" i="2"/>
  <c r="AF7" i="2"/>
  <c r="AJ7" i="2"/>
  <c r="L11" i="2"/>
  <c r="L17" i="2" s="1"/>
  <c r="G8" i="2"/>
  <c r="N7" i="2"/>
  <c r="C7" i="2"/>
  <c r="X8" i="2"/>
  <c r="M7" i="2"/>
  <c r="R7" i="2"/>
  <c r="U7" i="2"/>
  <c r="Q8" i="2"/>
  <c r="W7" i="2"/>
  <c r="F8" i="2"/>
  <c r="D7" i="2"/>
  <c r="AG8" i="2"/>
  <c r="O8" i="2"/>
  <c r="P7" i="2"/>
  <c r="Z8" i="2"/>
  <c r="AE8" i="2"/>
  <c r="AB7" i="2"/>
  <c r="B7" i="2"/>
  <c r="J8" i="2"/>
  <c r="O7" i="2"/>
  <c r="P8" i="2"/>
  <c r="I7" i="2"/>
  <c r="AE7" i="2"/>
  <c r="AF8" i="2"/>
  <c r="X7" i="2"/>
  <c r="AI5" i="1"/>
  <c r="AA5" i="1"/>
  <c r="E7" i="2"/>
  <c r="K7" i="2"/>
  <c r="J7" i="2"/>
  <c r="AK7" i="2"/>
  <c r="AH11" i="2"/>
  <c r="AH17" i="2" s="1"/>
  <c r="AI7" i="2"/>
  <c r="L7" i="2"/>
  <c r="Y8" i="2"/>
  <c r="AI50" i="1"/>
  <c r="W7" i="1"/>
  <c r="AA7" i="2"/>
  <c r="AC11" i="2"/>
  <c r="AC17" i="2" s="1"/>
  <c r="AH5" i="1"/>
  <c r="AC7" i="2"/>
  <c r="AB50" i="1"/>
  <c r="V7" i="2"/>
  <c r="W8" i="2"/>
  <c r="Z5" i="1"/>
  <c r="AL62" i="1"/>
  <c r="AD7" i="2"/>
  <c r="S7" i="2"/>
  <c r="R11" i="2"/>
  <c r="R17" i="2" s="1"/>
  <c r="AE5" i="1"/>
  <c r="AH7" i="2"/>
  <c r="AH50" i="1"/>
  <c r="V7" i="1"/>
  <c r="F11" i="2"/>
  <c r="F17" i="2" s="1"/>
  <c r="AF5" i="1"/>
  <c r="AA50" i="1"/>
  <c r="AA7" i="1" s="1"/>
  <c r="O5" i="1"/>
  <c r="F5" i="1"/>
  <c r="R50" i="1"/>
  <c r="AC5" i="1"/>
  <c r="X5" i="1"/>
  <c r="AJ59" i="1"/>
  <c r="AG5" i="1"/>
  <c r="P5" i="1"/>
  <c r="AB51" i="1"/>
  <c r="E5" i="1"/>
  <c r="E9" i="1" s="1"/>
  <c r="D5" i="2" s="1"/>
  <c r="Q50" i="1"/>
  <c r="R5" i="1"/>
  <c r="U5" i="1"/>
  <c r="AG56" i="1"/>
  <c r="Y5" i="1"/>
  <c r="AK60" i="1"/>
  <c r="M5" i="1"/>
  <c r="Y50" i="1"/>
  <c r="S5" i="1"/>
  <c r="T50" i="1"/>
  <c r="H5" i="1"/>
  <c r="AL5" i="1"/>
  <c r="AJ5" i="1"/>
  <c r="N5" i="1"/>
  <c r="Z50" i="1"/>
  <c r="Q5" i="1"/>
  <c r="AC52" i="1"/>
  <c r="L5" i="1"/>
  <c r="X50" i="1"/>
  <c r="AD5" i="1"/>
  <c r="S50" i="1"/>
  <c r="G5" i="1"/>
  <c r="AB5" i="1"/>
  <c r="V5" i="1"/>
  <c r="AH57" i="1"/>
  <c r="AF55" i="1"/>
  <c r="T5" i="1"/>
  <c r="W5" i="1"/>
  <c r="AI58" i="1"/>
  <c r="AK5" i="1"/>
  <c r="J5" i="1"/>
  <c r="U50" i="1"/>
  <c r="I5" i="1"/>
  <c r="K5" i="1"/>
  <c r="AI11" i="2" l="1"/>
  <c r="AI17" i="2" s="1"/>
  <c r="D48" i="2"/>
  <c r="D12" i="2"/>
  <c r="D13" i="2"/>
  <c r="AJ11" i="2"/>
  <c r="AJ17" i="2" s="1"/>
  <c r="AI7" i="1"/>
  <c r="AH7" i="1"/>
  <c r="AJ50" i="1"/>
  <c r="AJ7" i="1" s="1"/>
  <c r="X7" i="1"/>
  <c r="N10" i="1"/>
  <c r="AF50" i="1"/>
  <c r="AF7" i="1" s="1"/>
  <c r="T7" i="1"/>
  <c r="E10" i="1"/>
  <c r="K10" i="1"/>
  <c r="AC50" i="1"/>
  <c r="AC7" i="1" s="1"/>
  <c r="Q7" i="1"/>
  <c r="Q9" i="1" s="1"/>
  <c r="P5" i="2" s="1"/>
  <c r="AD50" i="1"/>
  <c r="AD7" i="1" s="1"/>
  <c r="R7" i="1"/>
  <c r="H10" i="1"/>
  <c r="AB7" i="1"/>
  <c r="AL50" i="1"/>
  <c r="AL7" i="1" s="1"/>
  <c r="Z7" i="1"/>
  <c r="AG50" i="1"/>
  <c r="AG7" i="1" s="1"/>
  <c r="U7" i="1"/>
  <c r="AK50" i="1"/>
  <c r="AK7" i="1" s="1"/>
  <c r="Y7" i="1"/>
  <c r="AE50" i="1"/>
  <c r="AE7" i="1" s="1"/>
  <c r="S7" i="1"/>
  <c r="P48" i="2" l="1"/>
  <c r="P13" i="2"/>
  <c r="P12" i="2"/>
  <c r="V18" i="2"/>
  <c r="I18" i="2"/>
  <c r="I50" i="2" s="1"/>
  <c r="I54" i="2" s="1"/>
  <c r="I56" i="2" s="1"/>
  <c r="G18" i="2"/>
  <c r="G50" i="2" s="1"/>
  <c r="G54" i="2" s="1"/>
  <c r="G56" i="2" s="1"/>
  <c r="L18" i="2"/>
  <c r="L50" i="2" s="1"/>
  <c r="L54" i="2" s="1"/>
  <c r="L56" i="2" s="1"/>
  <c r="F18" i="2"/>
  <c r="F50" i="2" s="1"/>
  <c r="F54" i="2" s="1"/>
  <c r="F56" i="2" s="1"/>
  <c r="C18" i="2"/>
  <c r="M18" i="2"/>
  <c r="M23" i="2" s="1"/>
  <c r="J18" i="2"/>
  <c r="D18" i="2"/>
  <c r="D23" i="2" s="1"/>
  <c r="AF10" i="1"/>
  <c r="Q10" i="1"/>
  <c r="T10" i="1"/>
  <c r="O18" i="2"/>
  <c r="AH18" i="2"/>
  <c r="Z10" i="1"/>
  <c r="AL10" i="1"/>
  <c r="AI10" i="1"/>
  <c r="W10" i="1"/>
  <c r="AC10" i="1"/>
  <c r="I23" i="2" l="1"/>
  <c r="C50" i="2"/>
  <c r="C54" i="2" s="1"/>
  <c r="C56" i="2" s="1"/>
  <c r="M50" i="2"/>
  <c r="M54" i="2" s="1"/>
  <c r="M56" i="2" s="1"/>
  <c r="F23" i="2"/>
  <c r="D50" i="2"/>
  <c r="D54" i="2" s="1"/>
  <c r="D56" i="2" s="1"/>
  <c r="G23" i="2"/>
  <c r="L23" i="2"/>
  <c r="C23" i="2"/>
  <c r="J50" i="2"/>
  <c r="J54" i="2" s="1"/>
  <c r="J56" i="2" s="1"/>
  <c r="J23" i="2"/>
  <c r="H18" i="2"/>
  <c r="H50" i="2" s="1"/>
  <c r="H54" i="2" s="1"/>
  <c r="H56" i="2" s="1"/>
  <c r="K18" i="2"/>
  <c r="K23" i="2" s="1"/>
  <c r="N18" i="2"/>
  <c r="N23" i="2" s="1"/>
  <c r="AB18" i="2"/>
  <c r="AB23" i="2" s="1"/>
  <c r="U18" i="2"/>
  <c r="U50" i="2" s="1"/>
  <c r="U54" i="2" s="1"/>
  <c r="U56" i="2" s="1"/>
  <c r="AG18" i="2"/>
  <c r="AG23" i="2" s="1"/>
  <c r="AD18" i="2"/>
  <c r="AD23" i="2" s="1"/>
  <c r="V23" i="2"/>
  <c r="V50" i="2"/>
  <c r="V54" i="2" s="1"/>
  <c r="V56" i="2" s="1"/>
  <c r="AK18" i="2"/>
  <c r="AJ18" i="2"/>
  <c r="Z18" i="2"/>
  <c r="E18" i="2"/>
  <c r="R18" i="2"/>
  <c r="O50" i="2"/>
  <c r="O54" i="2" s="1"/>
  <c r="O56" i="2" s="1"/>
  <c r="O23" i="2"/>
  <c r="S18" i="2"/>
  <c r="AE18" i="2"/>
  <c r="AA18" i="2"/>
  <c r="X18" i="2"/>
  <c r="Y18" i="2"/>
  <c r="AH50" i="2"/>
  <c r="AH54" i="2" s="1"/>
  <c r="AH56" i="2" s="1"/>
  <c r="AH23" i="2"/>
  <c r="AI18" i="2" l="1"/>
  <c r="AI50" i="2" s="1"/>
  <c r="AI54" i="2" s="1"/>
  <c r="AI56" i="2" s="1"/>
  <c r="H23" i="2"/>
  <c r="K50" i="2"/>
  <c r="K54" i="2" s="1"/>
  <c r="K56" i="2" s="1"/>
  <c r="AG50" i="2"/>
  <c r="AG54" i="2" s="1"/>
  <c r="AG56" i="2" s="1"/>
  <c r="AC18" i="2"/>
  <c r="AC50" i="2" s="1"/>
  <c r="AC54" i="2" s="1"/>
  <c r="AC56" i="2" s="1"/>
  <c r="AB50" i="2"/>
  <c r="AB54" i="2" s="1"/>
  <c r="AB56" i="2" s="1"/>
  <c r="N50" i="2"/>
  <c r="N54" i="2" s="1"/>
  <c r="N56" i="2" s="1"/>
  <c r="U23" i="2"/>
  <c r="AD50" i="2"/>
  <c r="AD54" i="2" s="1"/>
  <c r="AD56" i="2" s="1"/>
  <c r="AF18" i="2"/>
  <c r="AF23" i="2" s="1"/>
  <c r="X23" i="2"/>
  <c r="X50" i="2"/>
  <c r="X54" i="2" s="1"/>
  <c r="X56" i="2" s="1"/>
  <c r="P18" i="2"/>
  <c r="AK50" i="2"/>
  <c r="AK54" i="2" s="1"/>
  <c r="AK56" i="2" s="1"/>
  <c r="AK23" i="2"/>
  <c r="S50" i="2"/>
  <c r="S54" i="2" s="1"/>
  <c r="S56" i="2" s="1"/>
  <c r="S23" i="2"/>
  <c r="Q18" i="2"/>
  <c r="R50" i="2"/>
  <c r="R54" i="2" s="1"/>
  <c r="R56" i="2" s="1"/>
  <c r="R23" i="2"/>
  <c r="E50" i="2"/>
  <c r="E54" i="2" s="1"/>
  <c r="E56" i="2" s="1"/>
  <c r="E23" i="2"/>
  <c r="AA50" i="2"/>
  <c r="AA54" i="2" s="1"/>
  <c r="AA56" i="2" s="1"/>
  <c r="AA23" i="2"/>
  <c r="W18" i="2"/>
  <c r="Y23" i="2"/>
  <c r="Y50" i="2"/>
  <c r="Y54" i="2" s="1"/>
  <c r="Y56" i="2" s="1"/>
  <c r="AE23" i="2"/>
  <c r="AE50" i="2"/>
  <c r="AE54" i="2" s="1"/>
  <c r="AE56" i="2" s="1"/>
  <c r="T18" i="2"/>
  <c r="Z50" i="2"/>
  <c r="Z54" i="2" s="1"/>
  <c r="Z56" i="2" s="1"/>
  <c r="Z23" i="2"/>
  <c r="AJ50" i="2"/>
  <c r="AJ54" i="2" s="1"/>
  <c r="AJ56" i="2" s="1"/>
  <c r="AJ23" i="2"/>
  <c r="AI23" i="2" l="1"/>
  <c r="AC23" i="2"/>
  <c r="AF50" i="2"/>
  <c r="AF54" i="2" s="1"/>
  <c r="AF56" i="2" s="1"/>
  <c r="W23" i="2"/>
  <c r="W50" i="2"/>
  <c r="W54" i="2" s="1"/>
  <c r="W56" i="2" s="1"/>
  <c r="Q23" i="2"/>
  <c r="Q50" i="2"/>
  <c r="Q54" i="2" s="1"/>
  <c r="Q56" i="2" s="1"/>
  <c r="P23" i="2"/>
  <c r="P50" i="2"/>
  <c r="P54" i="2" s="1"/>
  <c r="P56" i="2" s="1"/>
  <c r="T50" i="2"/>
  <c r="T54" i="2" s="1"/>
  <c r="T56" i="2" s="1"/>
  <c r="T23" i="2"/>
  <c r="B51" i="2"/>
  <c r="B2" i="2"/>
  <c r="B3" i="2" s="1"/>
  <c r="C3" i="2" s="1"/>
  <c r="D3" i="2" s="1"/>
  <c r="E3" i="2" s="1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C3" i="1"/>
  <c r="B4" i="2" s="1"/>
  <c r="B8" i="2" s="1"/>
  <c r="C8" i="1"/>
  <c r="B6" i="2" s="1"/>
  <c r="B19" i="2" s="1"/>
  <c r="B5" i="2"/>
  <c r="B13" i="2" s="1"/>
  <c r="B12" i="2" l="1"/>
  <c r="B18" i="2" s="1"/>
  <c r="B50" i="2" s="1"/>
  <c r="B54" i="2" s="1"/>
  <c r="B48" i="2"/>
  <c r="B56" i="2" l="1"/>
  <c r="B58" i="2" s="1"/>
  <c r="C58" i="2" s="1"/>
  <c r="D58" i="2" s="1"/>
  <c r="E58" i="2" s="1"/>
  <c r="F58" i="2" s="1"/>
  <c r="G58" i="2" s="1"/>
  <c r="H58" i="2" s="1"/>
  <c r="I58" i="2" s="1"/>
  <c r="J58" i="2" s="1"/>
  <c r="K58" i="2" s="1"/>
  <c r="L58" i="2" s="1"/>
  <c r="M58" i="2" s="1"/>
  <c r="N58" i="2" s="1"/>
  <c r="O58" i="2" s="1"/>
  <c r="P58" i="2" s="1"/>
  <c r="Q58" i="2" s="1"/>
  <c r="R58" i="2" s="1"/>
  <c r="S58" i="2" s="1"/>
  <c r="T58" i="2" s="1"/>
  <c r="U58" i="2" s="1"/>
  <c r="V58" i="2" s="1"/>
  <c r="W58" i="2" s="1"/>
  <c r="X58" i="2" s="1"/>
  <c r="Y58" i="2" s="1"/>
  <c r="Z58" i="2" s="1"/>
  <c r="AA58" i="2" s="1"/>
  <c r="AB58" i="2" s="1"/>
  <c r="AC58" i="2" s="1"/>
  <c r="AD58" i="2" s="1"/>
  <c r="AE58" i="2" s="1"/>
  <c r="AF58" i="2" s="1"/>
  <c r="AG58" i="2" s="1"/>
  <c r="AH58" i="2" s="1"/>
  <c r="AI58" i="2" s="1"/>
  <c r="AJ58" i="2" s="1"/>
  <c r="AK58" i="2" s="1"/>
</calcChain>
</file>

<file path=xl/sharedStrings.xml><?xml version="1.0" encoding="utf-8"?>
<sst xmlns="http://schemas.openxmlformats.org/spreadsheetml/2006/main" count="98" uniqueCount="80">
  <si>
    <t>month</t>
  </si>
  <si>
    <t>New MRR</t>
  </si>
  <si>
    <t>MRR table</t>
  </si>
  <si>
    <t>Renewals table</t>
  </si>
  <si>
    <t>Renewals</t>
  </si>
  <si>
    <t>Month</t>
  </si>
  <si>
    <t>New Bookings</t>
  </si>
  <si>
    <t>Revenue</t>
  </si>
  <si>
    <t>Sales OPS</t>
  </si>
  <si>
    <t>Headcount</t>
  </si>
  <si>
    <t>Sales</t>
  </si>
  <si>
    <t>Marketing</t>
  </si>
  <si>
    <t>Engineering</t>
  </si>
  <si>
    <t>G&amp;A</t>
  </si>
  <si>
    <t>Avrg HC cost</t>
  </si>
  <si>
    <t>Avrg Price</t>
  </si>
  <si>
    <t>Support Staff</t>
  </si>
  <si>
    <t>Support Ratio</t>
  </si>
  <si>
    <t>3 months out</t>
  </si>
  <si>
    <t>6 months out</t>
  </si>
  <si>
    <t>Monthly</t>
  </si>
  <si>
    <t>Total HC</t>
  </si>
  <si>
    <t>P&amp;L</t>
  </si>
  <si>
    <t>Cost of Sales</t>
  </si>
  <si>
    <t>Development</t>
  </si>
  <si>
    <t>Expenses</t>
  </si>
  <si>
    <t>New Customers</t>
  </si>
  <si>
    <t>Total Monthly Revenue</t>
  </si>
  <si>
    <t>Total Quarterly Revenue</t>
  </si>
  <si>
    <t>Professional Services</t>
  </si>
  <si>
    <t>Avrg. Unit Price</t>
  </si>
  <si>
    <t>Only cells in light blue should be edited</t>
  </si>
  <si>
    <t>Total Customers</t>
  </si>
  <si>
    <t>Marking Expenses</t>
  </si>
  <si>
    <t>Sales Commission</t>
  </si>
  <si>
    <t>Sales people</t>
  </si>
  <si>
    <t>Customer Success staff</t>
  </si>
  <si>
    <t>PS staff</t>
  </si>
  <si>
    <t>G&amp;A overhead</t>
  </si>
  <si>
    <t>of G&amp;A headcount</t>
  </si>
  <si>
    <t>License Revenue</t>
  </si>
  <si>
    <t>PS Revenue</t>
  </si>
  <si>
    <t>Cummulative Cash</t>
  </si>
  <si>
    <t>EBITDA</t>
  </si>
  <si>
    <t>Customer Success Ratio</t>
  </si>
  <si>
    <t>Pro. Serv. capacity</t>
  </si>
  <si>
    <t>Sales/OPS ratio</t>
  </si>
  <si>
    <t>from Revenue Model</t>
  </si>
  <si>
    <t>of Bookings</t>
  </si>
  <si>
    <t>Sales OPS HC ratio to Sales people HC</t>
  </si>
  <si>
    <t>Professional Services revenue</t>
  </si>
  <si>
    <t>Ratio to Bookings</t>
  </si>
  <si>
    <t>Annual</t>
  </si>
  <si>
    <t>of Revenue (cost of CS)</t>
  </si>
  <si>
    <t>of Revenue (cost of support)</t>
  </si>
  <si>
    <t>Monthly revenue capacity per person</t>
  </si>
  <si>
    <t>Sales commission Rate</t>
  </si>
  <si>
    <t>Markteting Cost Ratio</t>
  </si>
  <si>
    <t>2nd year</t>
  </si>
  <si>
    <t>3rd year</t>
  </si>
  <si>
    <t>Cust. Succ. + Support</t>
  </si>
  <si>
    <t>You must edit the marketing, engineering, and G&amp;A headcount numbers above</t>
  </si>
  <si>
    <t>Sales qouta monthly</t>
  </si>
  <si>
    <t>March 1, 2025 revision -- Arik Paran -- SCORE Silicon Valley</t>
  </si>
  <si>
    <t>Engineering AI factor</t>
  </si>
  <si>
    <t>Marketing AI factor</t>
  </si>
  <si>
    <t>Customer Support AI factor</t>
  </si>
  <si>
    <t>Customer Success AI factor</t>
  </si>
  <si>
    <t>Sales AI factor</t>
  </si>
  <si>
    <t>Remaining effort with AI leverage (manual)</t>
  </si>
  <si>
    <t>G&amp;A AI factor</t>
  </si>
  <si>
    <t>Prof. Servicves AI factor</t>
  </si>
  <si>
    <t>Factor is already within the functions in the tables above</t>
  </si>
  <si>
    <t>AI Agents</t>
  </si>
  <si>
    <t>AI Agents cost (avrg)</t>
  </si>
  <si>
    <t>Per headcount</t>
  </si>
  <si>
    <t>Adjust!</t>
  </si>
  <si>
    <t>Updated with new AI effects</t>
  </si>
  <si>
    <t>Review your headcount and adjust accoring to technology use to Leverage AI agents</t>
  </si>
  <si>
    <t>Remaining effort with AI leverage (auto)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</si>
</sst>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medium">
        <color rgb="FFFF0000"/>
      </left>
      <right/>
      <top style="thick">
        <color rgb="FFFF0000"/>
      </top>
      <bottom style="thick">
        <color rgb="FFFF0000"/>
      </bottom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thin">
        <color theme="1"/>
      </top>
      <bottom style="thin">
        <color theme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theme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3">
    <xf numFmtId="0" fontId="0" fillId="0" borderId="0" xfId="0"/>
    <xf numFmtId="6" fontId="0" fillId="0" borderId="0" xfId="0" applyNumberFormat="1"/>
    <xf numFmtId="0" fontId="0" fillId="2" borderId="0" xfId="0" applyFill="1"/>
    <xf numFmtId="6" fontId="0" fillId="2" borderId="0" xfId="0" applyNumberFormat="1" applyFill="1"/>
    <xf numFmtId="164" fontId="0" fillId="0" borderId="0" xfId="1" applyNumberFormat="1" applyFont="1"/>
    <xf numFmtId="0" fontId="0" fillId="3" borderId="0" xfId="0" applyFill="1"/>
    <xf numFmtId="0" fontId="0" fillId="2" borderId="1" xfId="0" applyFill="1" applyBorder="1"/>
    <xf numFmtId="6" fontId="0" fillId="2" borderId="1" xfId="0" applyNumberFormat="1" applyFill="1" applyBorder="1"/>
    <xf numFmtId="0" fontId="0" fillId="3" borderId="1" xfId="0" applyFill="1" applyBorder="1"/>
    <xf numFmtId="6" fontId="0" fillId="3" borderId="1" xfId="0" applyNumberFormat="1" applyFill="1" applyBorder="1"/>
    <xf numFmtId="6" fontId="0" fillId="3" borderId="0" xfId="0" applyNumberFormat="1" applyFill="1"/>
    <xf numFmtId="164" fontId="0" fillId="4" borderId="0" xfId="1" applyNumberFormat="1" applyFont="1" applyFill="1"/>
    <xf numFmtId="0" fontId="0" fillId="4" borderId="0" xfId="0" applyFill="1"/>
    <xf numFmtId="44" fontId="0" fillId="4" borderId="0" xfId="1" applyFont="1" applyFill="1"/>
    <xf numFmtId="44" fontId="0" fillId="4" borderId="0" xfId="0" applyNumberFormat="1" applyFill="1"/>
    <xf numFmtId="164" fontId="0" fillId="4" borderId="0" xfId="0" applyNumberFormat="1" applyFill="1"/>
    <xf numFmtId="0" fontId="0" fillId="6" borderId="0" xfId="0" applyFill="1" applyAlignment="1">
      <alignment horizontal="center"/>
    </xf>
    <xf numFmtId="6" fontId="0" fillId="4" borderId="0" xfId="0" applyNumberFormat="1" applyFill="1"/>
    <xf numFmtId="0" fontId="0" fillId="0" borderId="0" xfId="0" applyAlignment="1">
      <alignment horizontal="center"/>
    </xf>
    <xf numFmtId="0" fontId="2" fillId="0" borderId="0" xfId="0" applyFont="1"/>
    <xf numFmtId="0" fontId="0" fillId="6" borderId="0" xfId="0" applyFill="1"/>
    <xf numFmtId="0" fontId="0" fillId="6" borderId="0" xfId="0" quotePrefix="1" applyFill="1"/>
    <xf numFmtId="164" fontId="0" fillId="0" borderId="0" xfId="0" applyNumberFormat="1"/>
    <xf numFmtId="0" fontId="0" fillId="0" borderId="2" xfId="0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6" fontId="0" fillId="0" borderId="2" xfId="0" applyNumberFormat="1" applyBorder="1"/>
    <xf numFmtId="0" fontId="2" fillId="6" borderId="0" xfId="0" applyFont="1" applyFill="1"/>
    <xf numFmtId="0" fontId="0" fillId="7" borderId="0" xfId="0" applyFill="1"/>
    <xf numFmtId="0" fontId="0" fillId="5" borderId="0" xfId="0" applyFill="1" applyAlignment="1">
      <alignment horizontal="center"/>
    </xf>
    <xf numFmtId="0" fontId="2" fillId="2" borderId="0" xfId="0" applyFont="1" applyFill="1"/>
    <xf numFmtId="0" fontId="0" fillId="8" borderId="0" xfId="0" applyFill="1" applyAlignment="1">
      <alignment horizontal="center"/>
    </xf>
    <xf numFmtId="0" fontId="0" fillId="7" borderId="2" xfId="0" applyFill="1" applyBorder="1"/>
    <xf numFmtId="6" fontId="0" fillId="7" borderId="3" xfId="0" applyNumberFormat="1" applyFill="1" applyBorder="1"/>
    <xf numFmtId="0" fontId="0" fillId="6" borderId="4" xfId="0" applyFill="1" applyBorder="1"/>
    <xf numFmtId="0" fontId="0" fillId="7" borderId="3" xfId="0" applyFill="1" applyBorder="1"/>
    <xf numFmtId="0" fontId="0" fillId="2" borderId="4" xfId="0" applyFill="1" applyBorder="1"/>
    <xf numFmtId="0" fontId="5" fillId="10" borderId="5" xfId="0" applyFont="1" applyFill="1" applyBorder="1"/>
    <xf numFmtId="0" fontId="4" fillId="10" borderId="6" xfId="0" applyFont="1" applyFill="1" applyBorder="1"/>
    <xf numFmtId="0" fontId="4" fillId="10" borderId="7" xfId="0" applyFont="1" applyFill="1" applyBorder="1"/>
    <xf numFmtId="0" fontId="0" fillId="7" borderId="8" xfId="0" applyFill="1" applyBorder="1"/>
    <xf numFmtId="0" fontId="0" fillId="7" borderId="9" xfId="0" applyFill="1" applyBorder="1"/>
    <xf numFmtId="0" fontId="0" fillId="7" borderId="10" xfId="0" applyFill="1" applyBorder="1"/>
    <xf numFmtId="0" fontId="0" fillId="7" borderId="11" xfId="0" applyFill="1" applyBorder="1"/>
    <xf numFmtId="0" fontId="0" fillId="7" borderId="12" xfId="0" applyFill="1" applyBorder="1"/>
    <xf numFmtId="0" fontId="0" fillId="7" borderId="13" xfId="0" applyFill="1" applyBorder="1"/>
    <xf numFmtId="0" fontId="0" fillId="7" borderId="14" xfId="0" applyFill="1" applyBorder="1"/>
    <xf numFmtId="0" fontId="0" fillId="7" borderId="15" xfId="0" applyFill="1" applyBorder="1"/>
    <xf numFmtId="0" fontId="0" fillId="7" borderId="16" xfId="0" applyFill="1" applyBorder="1"/>
    <xf numFmtId="0" fontId="0" fillId="7" borderId="17" xfId="0" applyFill="1" applyBorder="1"/>
    <xf numFmtId="0" fontId="0" fillId="7" borderId="18" xfId="0" applyFill="1" applyBorder="1"/>
    <xf numFmtId="6" fontId="0" fillId="3" borderId="19" xfId="0" applyNumberFormat="1" applyFill="1" applyBorder="1"/>
    <xf numFmtId="6" fontId="0" fillId="7" borderId="20" xfId="0" applyNumberFormat="1" applyFill="1" applyBorder="1"/>
    <xf numFmtId="9" fontId="0" fillId="7" borderId="21" xfId="0" applyNumberFormat="1" applyFill="1" applyBorder="1"/>
    <xf numFmtId="6" fontId="0" fillId="7" borderId="21" xfId="0" applyNumberFormat="1" applyFill="1" applyBorder="1"/>
    <xf numFmtId="9" fontId="0" fillId="7" borderId="22" xfId="0" applyNumberFormat="1" applyFill="1" applyBorder="1"/>
    <xf numFmtId="0" fontId="5" fillId="10" borderId="8" xfId="0" applyFont="1" applyFill="1" applyBorder="1"/>
    <xf numFmtId="0" fontId="0" fillId="10" borderId="9" xfId="0" applyFill="1" applyBorder="1"/>
    <xf numFmtId="0" fontId="0" fillId="10" borderId="10" xfId="0" applyFill="1" applyBorder="1"/>
    <xf numFmtId="0" fontId="0" fillId="7" borderId="3" xfId="0" applyFill="1" applyBorder="1" applyAlignment="1">
      <alignment horizontal="center"/>
    </xf>
    <xf numFmtId="0" fontId="0" fillId="10" borderId="23" xfId="0" applyFill="1" applyBorder="1"/>
    <xf numFmtId="9" fontId="0" fillId="7" borderId="0" xfId="0" applyNumberFormat="1" applyFill="1"/>
    <xf numFmtId="9" fontId="0" fillId="7" borderId="12" xfId="0" applyNumberFormat="1" applyFill="1" applyBorder="1"/>
    <xf numFmtId="9" fontId="0" fillId="7" borderId="24" xfId="0" applyNumberFormat="1" applyFill="1" applyBorder="1"/>
    <xf numFmtId="9" fontId="0" fillId="7" borderId="25" xfId="0" applyNumberFormat="1" applyFill="1" applyBorder="1"/>
    <xf numFmtId="9" fontId="0" fillId="7" borderId="26" xfId="0" applyNumberFormat="1" applyFill="1" applyBorder="1"/>
    <xf numFmtId="9" fontId="0" fillId="7" borderId="27" xfId="0" applyNumberFormat="1" applyFill="1" applyBorder="1"/>
    <xf numFmtId="0" fontId="6" fillId="0" borderId="0" xfId="0" applyFont="1"/>
    <xf numFmtId="1" fontId="0" fillId="0" borderId="0" xfId="0" applyNumberFormat="1"/>
    <xf numFmtId="0" fontId="8" fillId="6" borderId="0" xfId="0" applyFont="1" applyFill="1"/>
    <xf numFmtId="0" fontId="7" fillId="0" borderId="0" xfId="0" applyFont="1"/>
    <xf numFmtId="0" fontId="2" fillId="9" borderId="0" xfId="0" applyFont="1" applyFill="1" applyAlignment="1">
      <alignment horizontal="center"/>
    </xf>
    <xf numFmtId="0" fontId="4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</a:t>
            </a:r>
            <a:r>
              <a:rPr lang="en-US" baseline="0"/>
              <a:t> &amp; </a:t>
            </a:r>
            <a:r>
              <a:rPr lang="en-US"/>
              <a:t>Revenue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model'!$A$5</c:f>
              <c:strCache>
                <c:ptCount val="1"/>
                <c:pt idx="0">
                  <c:v> New MRR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'Revenue model'!$C$5:$AL$5</c:f>
              <c:numCache>
                <c:formatCode>_("$"* #,##0_);_("$"* \(#,##0\);_("$"* "-"??_);_(@_)</c:formatCode>
                <c:ptCount val="36"/>
                <c:pt idx="0">
                  <c:v>0</c:v>
                </c:pt>
                <c:pt idx="1">
                  <c:v>2500</c:v>
                </c:pt>
                <c:pt idx="2">
                  <c:v>7500</c:v>
                </c:pt>
                <c:pt idx="3">
                  <c:v>12500</c:v>
                </c:pt>
                <c:pt idx="4">
                  <c:v>22500</c:v>
                </c:pt>
                <c:pt idx="5">
                  <c:v>32500</c:v>
                </c:pt>
                <c:pt idx="6">
                  <c:v>45000</c:v>
                </c:pt>
                <c:pt idx="7">
                  <c:v>57500</c:v>
                </c:pt>
                <c:pt idx="8">
                  <c:v>72500</c:v>
                </c:pt>
                <c:pt idx="9">
                  <c:v>87500</c:v>
                </c:pt>
                <c:pt idx="10">
                  <c:v>107500</c:v>
                </c:pt>
                <c:pt idx="11">
                  <c:v>127500</c:v>
                </c:pt>
                <c:pt idx="12">
                  <c:v>147500</c:v>
                </c:pt>
                <c:pt idx="13">
                  <c:v>165000</c:v>
                </c:pt>
                <c:pt idx="14">
                  <c:v>185000</c:v>
                </c:pt>
                <c:pt idx="15">
                  <c:v>205000</c:v>
                </c:pt>
                <c:pt idx="16">
                  <c:v>220000</c:v>
                </c:pt>
                <c:pt idx="17">
                  <c:v>235000</c:v>
                </c:pt>
                <c:pt idx="18">
                  <c:v>247500</c:v>
                </c:pt>
                <c:pt idx="19">
                  <c:v>260000</c:v>
                </c:pt>
                <c:pt idx="20">
                  <c:v>270000</c:v>
                </c:pt>
                <c:pt idx="21">
                  <c:v>280000</c:v>
                </c:pt>
                <c:pt idx="22">
                  <c:v>285000</c:v>
                </c:pt>
                <c:pt idx="23">
                  <c:v>290000</c:v>
                </c:pt>
                <c:pt idx="24">
                  <c:v>300000</c:v>
                </c:pt>
                <c:pt idx="25">
                  <c:v>310000</c:v>
                </c:pt>
                <c:pt idx="26">
                  <c:v>315000</c:v>
                </c:pt>
                <c:pt idx="27">
                  <c:v>320000</c:v>
                </c:pt>
                <c:pt idx="28">
                  <c:v>332500</c:v>
                </c:pt>
                <c:pt idx="29">
                  <c:v>345000</c:v>
                </c:pt>
                <c:pt idx="30">
                  <c:v>357500</c:v>
                </c:pt>
                <c:pt idx="31">
                  <c:v>370000</c:v>
                </c:pt>
                <c:pt idx="32">
                  <c:v>395000</c:v>
                </c:pt>
                <c:pt idx="33">
                  <c:v>420000</c:v>
                </c:pt>
                <c:pt idx="34">
                  <c:v>445000</c:v>
                </c:pt>
                <c:pt idx="35">
                  <c:v>470000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5-463D-89B6-5C9A03D9B1AD}"/>
            </c:ext>
          </c:extLst>
        </c:ser>
        <c:ser>
          <c:idx val="1"/>
          <c:order val="1"/>
          <c:tx>
            <c:strRef>
              <c:f>'Revenue model'!$A$6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'Revenue model'!$C$6:$AL$6</c:f>
              <c:numCache>
                <c:formatCode>General</c:formatCode>
                <c:ptCount val="36"/>
              </c:numCache>
            </c:numRef>
          </c:val>
          <c:extLst>
            <c:ext xmlns:c16="http://schemas.microsoft.com/office/drawing/2014/chart" uri="{C3380CC4-5D6E-409C-BE32-E72D297353CC}">
              <c16:uniqueId val="{00000001-D605-463D-89B6-5C9A03D9B1AD}"/>
            </c:ext>
          </c:extLst>
        </c:ser>
        <c:ser>
          <c:idx val="2"/>
          <c:order val="2"/>
          <c:tx>
            <c:strRef>
              <c:f>'Revenue model'!$A$7</c:f>
              <c:strCache>
                <c:ptCount val="1"/>
                <c:pt idx="0">
                  <c:v>Renewals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'Revenue model'!$C$7:$AL$7</c:f>
              <c:numCache>
                <c:formatCode>_("$"* #,##0.00_);_("$"* \(#,##0.00\);_("$"* "-"??_);_(@_)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 formatCode="_(&quot;$&quot;* #,##0_);_(&quot;$&quot;* \(#,##0\);_(&quot;$&quot;* &quot;-&quot;??_);_(@_)">
                  <c:v>0</c:v>
                </c:pt>
                <c:pt idx="13" formatCode="_(&quot;$&quot;* #,##0_);_(&quot;$&quot;* \(#,##0\);_(&quot;$&quot;* &quot;-&quot;??_);_(@_)">
                  <c:v>2000</c:v>
                </c:pt>
                <c:pt idx="14" formatCode="_(&quot;$&quot;* #,##0_);_(&quot;$&quot;* \(#,##0\);_(&quot;$&quot;* &quot;-&quot;??_);_(@_)">
                  <c:v>6000</c:v>
                </c:pt>
                <c:pt idx="15" formatCode="_(&quot;$&quot;* #,##0_);_(&quot;$&quot;* \(#,##0\);_(&quot;$&quot;* &quot;-&quot;??_);_(@_)">
                  <c:v>10000</c:v>
                </c:pt>
                <c:pt idx="16" formatCode="_(&quot;$&quot;* #,##0_);_(&quot;$&quot;* \(#,##0\);_(&quot;$&quot;* &quot;-&quot;??_);_(@_)">
                  <c:v>18000</c:v>
                </c:pt>
                <c:pt idx="17" formatCode="_(&quot;$&quot;* #,##0_);_(&quot;$&quot;* \(#,##0\);_(&quot;$&quot;* &quot;-&quot;??_);_(@_)">
                  <c:v>26000</c:v>
                </c:pt>
                <c:pt idx="18" formatCode="_(&quot;$&quot;* #,##0_);_(&quot;$&quot;* \(#,##0\);_(&quot;$&quot;* &quot;-&quot;??_);_(@_)">
                  <c:v>36000</c:v>
                </c:pt>
                <c:pt idx="19" formatCode="_(&quot;$&quot;* #,##0_);_(&quot;$&quot;* \(#,##0\);_(&quot;$&quot;* &quot;-&quot;??_);_(@_)">
                  <c:v>46000</c:v>
                </c:pt>
                <c:pt idx="20" formatCode="_(&quot;$&quot;* #,##0_);_(&quot;$&quot;* \(#,##0\);_(&quot;$&quot;* &quot;-&quot;??_);_(@_)">
                  <c:v>58000</c:v>
                </c:pt>
                <c:pt idx="21" formatCode="_(&quot;$&quot;* #,##0_);_(&quot;$&quot;* \(#,##0\);_(&quot;$&quot;* &quot;-&quot;??_);_(@_)">
                  <c:v>70000</c:v>
                </c:pt>
                <c:pt idx="22" formatCode="_(&quot;$&quot;* #,##0_);_(&quot;$&quot;* \(#,##0\);_(&quot;$&quot;* &quot;-&quot;??_);_(@_)">
                  <c:v>86000</c:v>
                </c:pt>
                <c:pt idx="23" formatCode="_(&quot;$&quot;* #,##0_);_(&quot;$&quot;* \(#,##0\);_(&quot;$&quot;* &quot;-&quot;??_);_(@_)">
                  <c:v>102000</c:v>
                </c:pt>
                <c:pt idx="24" formatCode="_(&quot;$&quot;* #,##0_);_(&quot;$&quot;* \(#,##0\);_(&quot;$&quot;* &quot;-&quot;??_);_(@_)">
                  <c:v>120000</c:v>
                </c:pt>
                <c:pt idx="25" formatCode="_(&quot;$&quot;* #,##0_);_(&quot;$&quot;* \(#,##0\);_(&quot;$&quot;* &quot;-&quot;??_);_(@_)">
                  <c:v>137800</c:v>
                </c:pt>
                <c:pt idx="26" formatCode="_(&quot;$&quot;* #,##0_);_(&quot;$&quot;* \(#,##0\);_(&quot;$&quot;* &quot;-&quot;??_);_(@_)">
                  <c:v>159900</c:v>
                </c:pt>
                <c:pt idx="27" formatCode="_(&quot;$&quot;* #,##0_);_(&quot;$&quot;* \(#,##0\);_(&quot;$&quot;* &quot;-&quot;??_);_(@_)">
                  <c:v>182000</c:v>
                </c:pt>
                <c:pt idx="28" formatCode="_(&quot;$&quot;* #,##0_);_(&quot;$&quot;* \(#,##0\);_(&quot;$&quot;* &quot;-&quot;??_);_(@_)">
                  <c:v>203700</c:v>
                </c:pt>
                <c:pt idx="29" formatCode="_(&quot;$&quot;* #,##0_);_(&quot;$&quot;* \(#,##0\);_(&quot;$&quot;* &quot;-&quot;??_);_(@_)">
                  <c:v>225400</c:v>
                </c:pt>
                <c:pt idx="30" formatCode="_(&quot;$&quot;* #,##0_);_(&quot;$&quot;* \(#,##0\);_(&quot;$&quot;* &quot;-&quot;??_);_(@_)">
                  <c:v>246900</c:v>
                </c:pt>
                <c:pt idx="31" formatCode="_(&quot;$&quot;* #,##0_);_(&quot;$&quot;* \(#,##0\);_(&quot;$&quot;* &quot;-&quot;??_);_(@_)">
                  <c:v>268400</c:v>
                </c:pt>
                <c:pt idx="32" formatCode="_(&quot;$&quot;* #,##0_);_(&quot;$&quot;* \(#,##0\);_(&quot;$&quot;* &quot;-&quot;??_);_(@_)">
                  <c:v>289700</c:v>
                </c:pt>
                <c:pt idx="33" formatCode="_(&quot;$&quot;* #,##0_);_(&quot;$&quot;* \(#,##0\);_(&quot;$&quot;* &quot;-&quot;??_);_(@_)">
                  <c:v>311000</c:v>
                </c:pt>
                <c:pt idx="34" formatCode="_(&quot;$&quot;* #,##0_);_(&quot;$&quot;* \(#,##0\);_(&quot;$&quot;* &quot;-&quot;??_);_(@_)">
                  <c:v>331900</c:v>
                </c:pt>
                <c:pt idx="35" formatCode="_(&quot;$&quot;* #,##0_);_(&quot;$&quot;* \(#,##0\);_(&quot;$&quot;* &quot;-&quot;??_);_(@_)">
                  <c:v>352800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05-463D-89B6-5C9A03D9B1AD}"/>
            </c:ext>
          </c:extLst>
        </c:ser>
        <c:ser>
          <c:idx val="3"/>
          <c:order val="3"/>
          <c:tx>
            <c:strRef>
              <c:f>'Revenue model'!$A$8</c:f>
              <c:strCache>
                <c:ptCount val="1"/>
                <c:pt idx="0">
                  <c:v>Professional 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'Revenue model'!$C$8:$AL$8</c:f>
              <c:numCache>
                <c:formatCode>"$"#,##0_);[Red]\("$"#,##0\)</c:formatCode>
                <c:ptCount val="36"/>
                <c:pt idx="0">
                  <c:v>0</c:v>
                </c:pt>
                <c:pt idx="1">
                  <c:v>9000</c:v>
                </c:pt>
                <c:pt idx="2">
                  <c:v>18000</c:v>
                </c:pt>
                <c:pt idx="3">
                  <c:v>18000</c:v>
                </c:pt>
                <c:pt idx="4">
                  <c:v>36000</c:v>
                </c:pt>
                <c:pt idx="5">
                  <c:v>36000</c:v>
                </c:pt>
                <c:pt idx="6">
                  <c:v>45000</c:v>
                </c:pt>
                <c:pt idx="7">
                  <c:v>45000</c:v>
                </c:pt>
                <c:pt idx="8">
                  <c:v>54000</c:v>
                </c:pt>
                <c:pt idx="9">
                  <c:v>54000</c:v>
                </c:pt>
                <c:pt idx="10">
                  <c:v>72000</c:v>
                </c:pt>
                <c:pt idx="11">
                  <c:v>72000</c:v>
                </c:pt>
                <c:pt idx="12">
                  <c:v>72000</c:v>
                </c:pt>
                <c:pt idx="13">
                  <c:v>72000</c:v>
                </c:pt>
                <c:pt idx="14">
                  <c:v>90000</c:v>
                </c:pt>
                <c:pt idx="15">
                  <c:v>90000</c:v>
                </c:pt>
                <c:pt idx="16">
                  <c:v>90000</c:v>
                </c:pt>
                <c:pt idx="17">
                  <c:v>90000</c:v>
                </c:pt>
                <c:pt idx="18">
                  <c:v>90000</c:v>
                </c:pt>
                <c:pt idx="19">
                  <c:v>90000</c:v>
                </c:pt>
                <c:pt idx="20">
                  <c:v>90000</c:v>
                </c:pt>
                <c:pt idx="21">
                  <c:v>90000</c:v>
                </c:pt>
                <c:pt idx="22">
                  <c:v>90000</c:v>
                </c:pt>
                <c:pt idx="23">
                  <c:v>90000</c:v>
                </c:pt>
                <c:pt idx="24">
                  <c:v>108000</c:v>
                </c:pt>
                <c:pt idx="25">
                  <c:v>108000</c:v>
                </c:pt>
                <c:pt idx="26">
                  <c:v>108000</c:v>
                </c:pt>
                <c:pt idx="27">
                  <c:v>108000</c:v>
                </c:pt>
                <c:pt idx="28">
                  <c:v>135000</c:v>
                </c:pt>
                <c:pt idx="29">
                  <c:v>135000</c:v>
                </c:pt>
                <c:pt idx="30">
                  <c:v>135000</c:v>
                </c:pt>
                <c:pt idx="31">
                  <c:v>135000</c:v>
                </c:pt>
                <c:pt idx="32">
                  <c:v>180000</c:v>
                </c:pt>
                <c:pt idx="33">
                  <c:v>180000</c:v>
                </c:pt>
                <c:pt idx="34">
                  <c:v>180000</c:v>
                </c:pt>
                <c:pt idx="35">
                  <c:v>180000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3B-4A8C-96DA-7FA06EA5A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6844255"/>
        <c:axId val="816844671"/>
      </c:barChart>
      <c:lineChart>
        <c:grouping val="standard"/>
        <c:varyColors val="0"/>
        <c:ser>
          <c:idx val="4"/>
          <c:order val="4"/>
          <c:tx>
            <c:strRef>
              <c:f>'P&amp;L'!$A$3</c:f>
              <c:strCache>
                <c:ptCount val="1"/>
                <c:pt idx="0">
                  <c:v>Total Customers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'P&amp;L'!$B$3:$AK$3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13</c:v>
                </c:pt>
                <c:pt idx="6">
                  <c:v>18</c:v>
                </c:pt>
                <c:pt idx="7">
                  <c:v>23</c:v>
                </c:pt>
                <c:pt idx="8">
                  <c:v>29</c:v>
                </c:pt>
                <c:pt idx="9">
                  <c:v>35</c:v>
                </c:pt>
                <c:pt idx="10">
                  <c:v>43</c:v>
                </c:pt>
                <c:pt idx="11">
                  <c:v>51</c:v>
                </c:pt>
                <c:pt idx="12">
                  <c:v>59</c:v>
                </c:pt>
                <c:pt idx="13">
                  <c:v>67</c:v>
                </c:pt>
                <c:pt idx="14">
                  <c:v>77</c:v>
                </c:pt>
                <c:pt idx="15">
                  <c:v>87</c:v>
                </c:pt>
                <c:pt idx="16">
                  <c:v>97</c:v>
                </c:pt>
                <c:pt idx="17">
                  <c:v>107</c:v>
                </c:pt>
                <c:pt idx="18">
                  <c:v>117</c:v>
                </c:pt>
                <c:pt idx="19">
                  <c:v>127</c:v>
                </c:pt>
                <c:pt idx="20">
                  <c:v>137</c:v>
                </c:pt>
                <c:pt idx="21">
                  <c:v>147</c:v>
                </c:pt>
                <c:pt idx="22">
                  <c:v>157</c:v>
                </c:pt>
                <c:pt idx="23">
                  <c:v>167</c:v>
                </c:pt>
                <c:pt idx="24">
                  <c:v>179</c:v>
                </c:pt>
                <c:pt idx="25">
                  <c:v>191</c:v>
                </c:pt>
                <c:pt idx="26">
                  <c:v>203</c:v>
                </c:pt>
                <c:pt idx="27">
                  <c:v>215</c:v>
                </c:pt>
                <c:pt idx="28">
                  <c:v>230</c:v>
                </c:pt>
                <c:pt idx="29">
                  <c:v>245</c:v>
                </c:pt>
                <c:pt idx="30">
                  <c:v>260</c:v>
                </c:pt>
                <c:pt idx="31">
                  <c:v>275</c:v>
                </c:pt>
                <c:pt idx="32">
                  <c:v>295</c:v>
                </c:pt>
                <c:pt idx="33">
                  <c:v>315</c:v>
                </c:pt>
                <c:pt idx="34">
                  <c:v>335</c:v>
                </c:pt>
                <c:pt idx="35">
                  <c:v>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28-4624-A55E-BDCC5EE7F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3847039"/>
        <c:axId val="1793847999"/>
      </c:lineChart>
      <c:catAx>
        <c:axId val="8168442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844671"/>
        <c:crosses val="autoZero"/>
        <c:auto val="1"/>
        <c:lblAlgn val="ctr"/>
        <c:lblOffset val="100"/>
        <c:noMultiLvlLbl val="0"/>
      </c:catAx>
      <c:valAx>
        <c:axId val="81684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844255"/>
        <c:crosses val="autoZero"/>
        <c:crossBetween val="between"/>
      </c:valAx>
      <c:valAx>
        <c:axId val="179384799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847039"/>
        <c:crosses val="max"/>
        <c:crossBetween val="between"/>
      </c:valAx>
      <c:catAx>
        <c:axId val="1793847039"/>
        <c:scaling>
          <c:orientation val="minMax"/>
        </c:scaling>
        <c:delete val="1"/>
        <c:axPos val="b"/>
        <c:majorTickMark val="out"/>
        <c:minorTickMark val="none"/>
        <c:tickLblPos val="nextTo"/>
        <c:crossAx val="17938479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P&amp;L , Cash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8"/>
          <c:order val="8"/>
          <c:tx>
            <c:strRef>
              <c:f>'P&amp;L'!$A$58</c:f>
              <c:strCache>
                <c:ptCount val="1"/>
                <c:pt idx="0">
                  <c:v>Cummulative Cash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'P&amp;L'!$B$47:$AK$47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'P&amp;L'!$B$58:$AK$58</c:f>
              <c:numCache>
                <c:formatCode>_("$"* #,##0_);_("$"* \(#,##0\);_("$"* "-"??_);_(@_)</c:formatCode>
                <c:ptCount val="36"/>
                <c:pt idx="0">
                  <c:v>-229500</c:v>
                </c:pt>
                <c:pt idx="1">
                  <c:v>-496500</c:v>
                </c:pt>
                <c:pt idx="2">
                  <c:v>-754000</c:v>
                </c:pt>
                <c:pt idx="3">
                  <c:v>-1015500</c:v>
                </c:pt>
                <c:pt idx="4">
                  <c:v>-1298000</c:v>
                </c:pt>
                <c:pt idx="5">
                  <c:v>-1575000</c:v>
                </c:pt>
                <c:pt idx="6">
                  <c:v>-1857500</c:v>
                </c:pt>
                <c:pt idx="7">
                  <c:v>-2132000</c:v>
                </c:pt>
                <c:pt idx="8">
                  <c:v>-2407000</c:v>
                </c:pt>
                <c:pt idx="9">
                  <c:v>-2676000</c:v>
                </c:pt>
                <c:pt idx="10">
                  <c:v>-2916000</c:v>
                </c:pt>
                <c:pt idx="11">
                  <c:v>-3136000</c:v>
                </c:pt>
                <c:pt idx="12">
                  <c:v>-3436000</c:v>
                </c:pt>
                <c:pt idx="13">
                  <c:v>-3725500</c:v>
                </c:pt>
                <c:pt idx="14">
                  <c:v>-4002000</c:v>
                </c:pt>
                <c:pt idx="15">
                  <c:v>-4254500</c:v>
                </c:pt>
                <c:pt idx="16">
                  <c:v>-4484000</c:v>
                </c:pt>
                <c:pt idx="17">
                  <c:v>-4690500</c:v>
                </c:pt>
                <c:pt idx="18">
                  <c:v>-4897000</c:v>
                </c:pt>
                <c:pt idx="19">
                  <c:v>-5101000</c:v>
                </c:pt>
                <c:pt idx="20">
                  <c:v>-5283000</c:v>
                </c:pt>
                <c:pt idx="21">
                  <c:v>-5443000</c:v>
                </c:pt>
                <c:pt idx="22">
                  <c:v>-5582000</c:v>
                </c:pt>
                <c:pt idx="23">
                  <c:v>-5709000</c:v>
                </c:pt>
                <c:pt idx="24">
                  <c:v>-5819000</c:v>
                </c:pt>
                <c:pt idx="25">
                  <c:v>-5921200</c:v>
                </c:pt>
                <c:pt idx="26">
                  <c:v>-6016300</c:v>
                </c:pt>
                <c:pt idx="27">
                  <c:v>-6097800</c:v>
                </c:pt>
                <c:pt idx="28">
                  <c:v>-6151600</c:v>
                </c:pt>
                <c:pt idx="29">
                  <c:v>-6171200</c:v>
                </c:pt>
                <c:pt idx="30">
                  <c:v>-6219300</c:v>
                </c:pt>
                <c:pt idx="31">
                  <c:v>-6255900</c:v>
                </c:pt>
                <c:pt idx="32">
                  <c:v>-6263700</c:v>
                </c:pt>
                <c:pt idx="33">
                  <c:v>-6245200</c:v>
                </c:pt>
                <c:pt idx="34">
                  <c:v>-6200800</c:v>
                </c:pt>
                <c:pt idx="35">
                  <c:v>-6130500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5B5-4620-80ED-660B234A9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3534223"/>
        <c:axId val="184645055"/>
      </c:barChart>
      <c:lineChart>
        <c:grouping val="standard"/>
        <c:varyColors val="0"/>
        <c:ser>
          <c:idx val="0"/>
          <c:order val="0"/>
          <c:tx>
            <c:strRef>
              <c:f>'P&amp;L'!$A$48</c:f>
              <c:strCache>
                <c:ptCount val="1"/>
                <c:pt idx="0">
                  <c:v>Revenue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'P&amp;L'!$B$47:$AK$47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'P&amp;L'!$B$48:$AK$48</c:f>
              <c:numCache>
                <c:formatCode>_("$"* #,##0_);_("$"* \(#,##0\);_("$"* "-"??_);_(@_)</c:formatCode>
                <c:ptCount val="36"/>
                <c:pt idx="0">
                  <c:v>0</c:v>
                </c:pt>
                <c:pt idx="1">
                  <c:v>11500</c:v>
                </c:pt>
                <c:pt idx="2">
                  <c:v>25500</c:v>
                </c:pt>
                <c:pt idx="3">
                  <c:v>30500</c:v>
                </c:pt>
                <c:pt idx="4">
                  <c:v>58500</c:v>
                </c:pt>
                <c:pt idx="5">
                  <c:v>68500</c:v>
                </c:pt>
                <c:pt idx="6">
                  <c:v>90000</c:v>
                </c:pt>
                <c:pt idx="7">
                  <c:v>102500</c:v>
                </c:pt>
                <c:pt idx="8">
                  <c:v>126500</c:v>
                </c:pt>
                <c:pt idx="9">
                  <c:v>141500</c:v>
                </c:pt>
                <c:pt idx="10">
                  <c:v>179500</c:v>
                </c:pt>
                <c:pt idx="11">
                  <c:v>199500</c:v>
                </c:pt>
                <c:pt idx="12">
                  <c:v>219500</c:v>
                </c:pt>
                <c:pt idx="13">
                  <c:v>239000</c:v>
                </c:pt>
                <c:pt idx="14">
                  <c:v>281000</c:v>
                </c:pt>
                <c:pt idx="15">
                  <c:v>305000</c:v>
                </c:pt>
                <c:pt idx="16">
                  <c:v>328000</c:v>
                </c:pt>
                <c:pt idx="17">
                  <c:v>351000</c:v>
                </c:pt>
                <c:pt idx="18">
                  <c:v>373500</c:v>
                </c:pt>
                <c:pt idx="19">
                  <c:v>396000</c:v>
                </c:pt>
                <c:pt idx="20">
                  <c:v>418000</c:v>
                </c:pt>
                <c:pt idx="21">
                  <c:v>440000</c:v>
                </c:pt>
                <c:pt idx="22">
                  <c:v>461000</c:v>
                </c:pt>
                <c:pt idx="23">
                  <c:v>482000</c:v>
                </c:pt>
                <c:pt idx="24">
                  <c:v>528000</c:v>
                </c:pt>
                <c:pt idx="25">
                  <c:v>555800</c:v>
                </c:pt>
                <c:pt idx="26">
                  <c:v>582900</c:v>
                </c:pt>
                <c:pt idx="27">
                  <c:v>610000</c:v>
                </c:pt>
                <c:pt idx="28">
                  <c:v>671200</c:v>
                </c:pt>
                <c:pt idx="29">
                  <c:v>705400</c:v>
                </c:pt>
                <c:pt idx="30">
                  <c:v>739400</c:v>
                </c:pt>
                <c:pt idx="31">
                  <c:v>773400</c:v>
                </c:pt>
                <c:pt idx="32">
                  <c:v>864700</c:v>
                </c:pt>
                <c:pt idx="33">
                  <c:v>911000</c:v>
                </c:pt>
                <c:pt idx="34">
                  <c:v>956900</c:v>
                </c:pt>
                <c:pt idx="35">
                  <c:v>1002800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B5-4620-80ED-660B234A9AA6}"/>
            </c:ext>
          </c:extLst>
        </c:ser>
        <c:ser>
          <c:idx val="5"/>
          <c:order val="5"/>
          <c:tx>
            <c:strRef>
              <c:f>'P&amp;L'!$A$54</c:f>
              <c:strCache>
                <c:ptCount val="1"/>
                <c:pt idx="0">
                  <c:v>Expenses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'P&amp;L'!$B$47:$AK$47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'P&amp;L'!$B$54:$AK$54</c:f>
              <c:numCache>
                <c:formatCode>"$"#,##0_);[Red]\("$"#,##0\)</c:formatCode>
                <c:ptCount val="36"/>
                <c:pt idx="0">
                  <c:v>229500</c:v>
                </c:pt>
                <c:pt idx="1">
                  <c:v>278500</c:v>
                </c:pt>
                <c:pt idx="2">
                  <c:v>283000</c:v>
                </c:pt>
                <c:pt idx="3">
                  <c:v>292000</c:v>
                </c:pt>
                <c:pt idx="4">
                  <c:v>341000</c:v>
                </c:pt>
                <c:pt idx="5">
                  <c:v>345500</c:v>
                </c:pt>
                <c:pt idx="6">
                  <c:v>372500</c:v>
                </c:pt>
                <c:pt idx="7">
                  <c:v>377000</c:v>
                </c:pt>
                <c:pt idx="8">
                  <c:v>401500</c:v>
                </c:pt>
                <c:pt idx="9">
                  <c:v>410500</c:v>
                </c:pt>
                <c:pt idx="10">
                  <c:v>419500</c:v>
                </c:pt>
                <c:pt idx="11">
                  <c:v>419500</c:v>
                </c:pt>
                <c:pt idx="12">
                  <c:v>519500</c:v>
                </c:pt>
                <c:pt idx="13">
                  <c:v>528500</c:v>
                </c:pt>
                <c:pt idx="14">
                  <c:v>557500</c:v>
                </c:pt>
                <c:pt idx="15">
                  <c:v>557500</c:v>
                </c:pt>
                <c:pt idx="16">
                  <c:v>557500</c:v>
                </c:pt>
                <c:pt idx="17">
                  <c:v>557500</c:v>
                </c:pt>
                <c:pt idx="18">
                  <c:v>580000</c:v>
                </c:pt>
                <c:pt idx="19">
                  <c:v>600000</c:v>
                </c:pt>
                <c:pt idx="20">
                  <c:v>600000</c:v>
                </c:pt>
                <c:pt idx="21">
                  <c:v>600000</c:v>
                </c:pt>
                <c:pt idx="22">
                  <c:v>600000</c:v>
                </c:pt>
                <c:pt idx="23">
                  <c:v>609000</c:v>
                </c:pt>
                <c:pt idx="24">
                  <c:v>638000</c:v>
                </c:pt>
                <c:pt idx="25">
                  <c:v>658000</c:v>
                </c:pt>
                <c:pt idx="26">
                  <c:v>678000</c:v>
                </c:pt>
                <c:pt idx="27">
                  <c:v>691500</c:v>
                </c:pt>
                <c:pt idx="28">
                  <c:v>725000</c:v>
                </c:pt>
                <c:pt idx="29">
                  <c:v>725000</c:v>
                </c:pt>
                <c:pt idx="30">
                  <c:v>787500</c:v>
                </c:pt>
                <c:pt idx="31">
                  <c:v>810000</c:v>
                </c:pt>
                <c:pt idx="32">
                  <c:v>872500</c:v>
                </c:pt>
                <c:pt idx="33">
                  <c:v>892500</c:v>
                </c:pt>
                <c:pt idx="34">
                  <c:v>912500</c:v>
                </c:pt>
                <c:pt idx="35">
                  <c:v>932500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5B5-4620-80ED-660B234A9AA6}"/>
            </c:ext>
          </c:extLst>
        </c:ser>
        <c:ser>
          <c:idx val="7"/>
          <c:order val="7"/>
          <c:tx>
            <c:strRef>
              <c:f>'P&amp;L'!$A$56</c:f>
              <c:strCache>
                <c:ptCount val="1"/>
                <c:pt idx="0">
                  <c:v>EBITDA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'P&amp;L'!$B$47:$AK$47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'P&amp;L'!$B$56:$AK$56</c:f>
              <c:numCache>
                <c:formatCode>"$"#,##0_);[Red]\("$"#,##0\)</c:formatCode>
                <c:ptCount val="36"/>
                <c:pt idx="0">
                  <c:v>-229500</c:v>
                </c:pt>
                <c:pt idx="1">
                  <c:v>-267000</c:v>
                </c:pt>
                <c:pt idx="2">
                  <c:v>-257500</c:v>
                </c:pt>
                <c:pt idx="3">
                  <c:v>-261500</c:v>
                </c:pt>
                <c:pt idx="4">
                  <c:v>-282500</c:v>
                </c:pt>
                <c:pt idx="5">
                  <c:v>-277000</c:v>
                </c:pt>
                <c:pt idx="6">
                  <c:v>-282500</c:v>
                </c:pt>
                <c:pt idx="7">
                  <c:v>-274500</c:v>
                </c:pt>
                <c:pt idx="8">
                  <c:v>-275000</c:v>
                </c:pt>
                <c:pt idx="9">
                  <c:v>-269000</c:v>
                </c:pt>
                <c:pt idx="10">
                  <c:v>-240000</c:v>
                </c:pt>
                <c:pt idx="11">
                  <c:v>-220000</c:v>
                </c:pt>
                <c:pt idx="12">
                  <c:v>-300000</c:v>
                </c:pt>
                <c:pt idx="13">
                  <c:v>-289500</c:v>
                </c:pt>
                <c:pt idx="14">
                  <c:v>-276500</c:v>
                </c:pt>
                <c:pt idx="15">
                  <c:v>-252500</c:v>
                </c:pt>
                <c:pt idx="16">
                  <c:v>-229500</c:v>
                </c:pt>
                <c:pt idx="17">
                  <c:v>-206500</c:v>
                </c:pt>
                <c:pt idx="18">
                  <c:v>-206500</c:v>
                </c:pt>
                <c:pt idx="19">
                  <c:v>-204000</c:v>
                </c:pt>
                <c:pt idx="20">
                  <c:v>-182000</c:v>
                </c:pt>
                <c:pt idx="21">
                  <c:v>-160000</c:v>
                </c:pt>
                <c:pt idx="22">
                  <c:v>-139000</c:v>
                </c:pt>
                <c:pt idx="23">
                  <c:v>-127000</c:v>
                </c:pt>
                <c:pt idx="24">
                  <c:v>-110000</c:v>
                </c:pt>
                <c:pt idx="25">
                  <c:v>-102200</c:v>
                </c:pt>
                <c:pt idx="26">
                  <c:v>-95100</c:v>
                </c:pt>
                <c:pt idx="27">
                  <c:v>-81500</c:v>
                </c:pt>
                <c:pt idx="28">
                  <c:v>-53800</c:v>
                </c:pt>
                <c:pt idx="29">
                  <c:v>-19600</c:v>
                </c:pt>
                <c:pt idx="30">
                  <c:v>-48100</c:v>
                </c:pt>
                <c:pt idx="31">
                  <c:v>-36600</c:v>
                </c:pt>
                <c:pt idx="32">
                  <c:v>-7800</c:v>
                </c:pt>
                <c:pt idx="33">
                  <c:v>18500</c:v>
                </c:pt>
                <c:pt idx="34">
                  <c:v>44400</c:v>
                </c:pt>
                <c:pt idx="35">
                  <c:v>70300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5B5-4620-80ED-660B234A9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1968079"/>
        <c:axId val="214017065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'P&amp;L'!$A$49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'P&amp;L'!$B$47:$AK$47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'P&amp;L'!$B$49:$AK$49</c15:sqref>
                        </c15:formulaRef>
                      </c:ext>
                    </c:extLst>
                    <c:numCache>
                      <c:formatCode>General</c:formatCode>
                      <c:ptCount val="36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5B5-4620-80ED-660B234A9AA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'P&amp;L'!$A$50</c15:sqref>
                        </c15:formulaRef>
                      </c:ext>
                    </c:extLst>
                    <c:strCache>
                      <c:ptCount val="1"/>
                      <c:pt idx="0">
                        <c:v>Cost of Sales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'P&amp;L'!$B$47:$AK$47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'P&amp;L'!$B$50:$AK$50</c15:sqref>
                        </c15:formulaRef>
                      </c:ext>
                    </c:extLst>
                    <c:numCache>
                      <c:formatCode>"$"#,##0_);[Red]\("$"#,##0\)</c:formatCode>
                      <c:ptCount val="36"/>
                      <c:pt idx="0">
                        <c:v>64500</c:v>
                      </c:pt>
                      <c:pt idx="1">
                        <c:v>93500</c:v>
                      </c:pt>
                      <c:pt idx="2">
                        <c:v>98000</c:v>
                      </c:pt>
                      <c:pt idx="3">
                        <c:v>107000</c:v>
                      </c:pt>
                      <c:pt idx="4">
                        <c:v>136000</c:v>
                      </c:pt>
                      <c:pt idx="5">
                        <c:v>140500</c:v>
                      </c:pt>
                      <c:pt idx="6">
                        <c:v>145000</c:v>
                      </c:pt>
                      <c:pt idx="7">
                        <c:v>149500</c:v>
                      </c:pt>
                      <c:pt idx="8">
                        <c:v>164000</c:v>
                      </c:pt>
                      <c:pt idx="9">
                        <c:v>173000</c:v>
                      </c:pt>
                      <c:pt idx="10">
                        <c:v>182000</c:v>
                      </c:pt>
                      <c:pt idx="11">
                        <c:v>182000</c:v>
                      </c:pt>
                      <c:pt idx="12">
                        <c:v>212000</c:v>
                      </c:pt>
                      <c:pt idx="13">
                        <c:v>221000</c:v>
                      </c:pt>
                      <c:pt idx="14">
                        <c:v>240000</c:v>
                      </c:pt>
                      <c:pt idx="15">
                        <c:v>240000</c:v>
                      </c:pt>
                      <c:pt idx="16">
                        <c:v>240000</c:v>
                      </c:pt>
                      <c:pt idx="17">
                        <c:v>240000</c:v>
                      </c:pt>
                      <c:pt idx="18">
                        <c:v>240000</c:v>
                      </c:pt>
                      <c:pt idx="19">
                        <c:v>250000</c:v>
                      </c:pt>
                      <c:pt idx="20">
                        <c:v>250000</c:v>
                      </c:pt>
                      <c:pt idx="21">
                        <c:v>250000</c:v>
                      </c:pt>
                      <c:pt idx="22">
                        <c:v>250000</c:v>
                      </c:pt>
                      <c:pt idx="23">
                        <c:v>259000</c:v>
                      </c:pt>
                      <c:pt idx="24">
                        <c:v>278000</c:v>
                      </c:pt>
                      <c:pt idx="25">
                        <c:v>288000</c:v>
                      </c:pt>
                      <c:pt idx="26">
                        <c:v>298000</c:v>
                      </c:pt>
                      <c:pt idx="27">
                        <c:v>311500</c:v>
                      </c:pt>
                      <c:pt idx="28">
                        <c:v>335000</c:v>
                      </c:pt>
                      <c:pt idx="29">
                        <c:v>335000</c:v>
                      </c:pt>
                      <c:pt idx="30">
                        <c:v>355000</c:v>
                      </c:pt>
                      <c:pt idx="31">
                        <c:v>377500</c:v>
                      </c:pt>
                      <c:pt idx="32">
                        <c:v>420000</c:v>
                      </c:pt>
                      <c:pt idx="33">
                        <c:v>430000</c:v>
                      </c:pt>
                      <c:pt idx="34">
                        <c:v>440000</c:v>
                      </c:pt>
                      <c:pt idx="35">
                        <c:v>450000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5B5-4620-80ED-660B234A9AA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'P&amp;L'!$A$52</c15:sqref>
                        </c15:formulaRef>
                      </c:ext>
                    </c:extLst>
                    <c:strCache>
                      <c:ptCount val="1"/>
                      <c:pt idx="0">
                        <c:v>Development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'P&amp;L'!$B$47:$AK$47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'P&amp;L'!$B$52:$AK$52</c15:sqref>
                        </c15:formulaRef>
                      </c:ext>
                    </c:extLst>
                    <c:numCache>
                      <c:formatCode>"$"#,##0_);[Red]\("$"#,##0\)</c:formatCode>
                      <c:ptCount val="36"/>
                      <c:pt idx="0">
                        <c:v>30000</c:v>
                      </c:pt>
                      <c:pt idx="1">
                        <c:v>30000</c:v>
                      </c:pt>
                      <c:pt idx="2">
                        <c:v>30000</c:v>
                      </c:pt>
                      <c:pt idx="3">
                        <c:v>30000</c:v>
                      </c:pt>
                      <c:pt idx="4">
                        <c:v>30000</c:v>
                      </c:pt>
                      <c:pt idx="5">
                        <c:v>30000</c:v>
                      </c:pt>
                      <c:pt idx="6">
                        <c:v>30000</c:v>
                      </c:pt>
                      <c:pt idx="7">
                        <c:v>30000</c:v>
                      </c:pt>
                      <c:pt idx="8">
                        <c:v>30000</c:v>
                      </c:pt>
                      <c:pt idx="9">
                        <c:v>30000</c:v>
                      </c:pt>
                      <c:pt idx="10">
                        <c:v>30000</c:v>
                      </c:pt>
                      <c:pt idx="11">
                        <c:v>30000</c:v>
                      </c:pt>
                      <c:pt idx="12">
                        <c:v>50000</c:v>
                      </c:pt>
                      <c:pt idx="13">
                        <c:v>50000</c:v>
                      </c:pt>
                      <c:pt idx="14">
                        <c:v>50000</c:v>
                      </c:pt>
                      <c:pt idx="15">
                        <c:v>50000</c:v>
                      </c:pt>
                      <c:pt idx="16">
                        <c:v>50000</c:v>
                      </c:pt>
                      <c:pt idx="17">
                        <c:v>50000</c:v>
                      </c:pt>
                      <c:pt idx="18">
                        <c:v>50000</c:v>
                      </c:pt>
                      <c:pt idx="19">
                        <c:v>50000</c:v>
                      </c:pt>
                      <c:pt idx="20">
                        <c:v>50000</c:v>
                      </c:pt>
                      <c:pt idx="21">
                        <c:v>50000</c:v>
                      </c:pt>
                      <c:pt idx="22">
                        <c:v>50000</c:v>
                      </c:pt>
                      <c:pt idx="23">
                        <c:v>50000</c:v>
                      </c:pt>
                      <c:pt idx="24">
                        <c:v>50000</c:v>
                      </c:pt>
                      <c:pt idx="25">
                        <c:v>50000</c:v>
                      </c:pt>
                      <c:pt idx="26">
                        <c:v>50000</c:v>
                      </c:pt>
                      <c:pt idx="27">
                        <c:v>50000</c:v>
                      </c:pt>
                      <c:pt idx="28">
                        <c:v>50000</c:v>
                      </c:pt>
                      <c:pt idx="29">
                        <c:v>50000</c:v>
                      </c:pt>
                      <c:pt idx="30">
                        <c:v>50000</c:v>
                      </c:pt>
                      <c:pt idx="31">
                        <c:v>50000</c:v>
                      </c:pt>
                      <c:pt idx="32">
                        <c:v>50000</c:v>
                      </c:pt>
                      <c:pt idx="33">
                        <c:v>50000</c:v>
                      </c:pt>
                      <c:pt idx="34">
                        <c:v>50000</c:v>
                      </c:pt>
                      <c:pt idx="35">
                        <c:v>50000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5B5-4620-80ED-660B234A9AA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'P&amp;L'!$A$53</c15:sqref>
                        </c15:formulaRef>
                      </c:ext>
                    </c:extLst>
                    <c:strCache>
                      <c:ptCount val="1"/>
                      <c:pt idx="0">
                        <c:v>G&amp;A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'P&amp;L'!$B$47:$AK$47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'P&amp;L'!$B$53:$AK$53</c15:sqref>
                        </c15:formulaRef>
                      </c:ext>
                    </c:extLst>
                    <c:numCache>
                      <c:formatCode>"$"#,##0_);[Red]\("$"#,##0\)</c:formatCode>
                      <c:ptCount val="36"/>
                      <c:pt idx="0">
                        <c:v>25000</c:v>
                      </c:pt>
                      <c:pt idx="1">
                        <c:v>25000</c:v>
                      </c:pt>
                      <c:pt idx="2">
                        <c:v>25000</c:v>
                      </c:pt>
                      <c:pt idx="3">
                        <c:v>25000</c:v>
                      </c:pt>
                      <c:pt idx="4">
                        <c:v>25000</c:v>
                      </c:pt>
                      <c:pt idx="5">
                        <c:v>25000</c:v>
                      </c:pt>
                      <c:pt idx="6">
                        <c:v>37500</c:v>
                      </c:pt>
                      <c:pt idx="7">
                        <c:v>37500</c:v>
                      </c:pt>
                      <c:pt idx="8">
                        <c:v>37500</c:v>
                      </c:pt>
                      <c:pt idx="9">
                        <c:v>37500</c:v>
                      </c:pt>
                      <c:pt idx="10">
                        <c:v>37500</c:v>
                      </c:pt>
                      <c:pt idx="11">
                        <c:v>37500</c:v>
                      </c:pt>
                      <c:pt idx="12">
                        <c:v>37500</c:v>
                      </c:pt>
                      <c:pt idx="13">
                        <c:v>37500</c:v>
                      </c:pt>
                      <c:pt idx="14">
                        <c:v>37500</c:v>
                      </c:pt>
                      <c:pt idx="15">
                        <c:v>37500</c:v>
                      </c:pt>
                      <c:pt idx="16">
                        <c:v>37500</c:v>
                      </c:pt>
                      <c:pt idx="17">
                        <c:v>37500</c:v>
                      </c:pt>
                      <c:pt idx="18">
                        <c:v>50000</c:v>
                      </c:pt>
                      <c:pt idx="19">
                        <c:v>50000</c:v>
                      </c:pt>
                      <c:pt idx="20">
                        <c:v>50000</c:v>
                      </c:pt>
                      <c:pt idx="21">
                        <c:v>50000</c:v>
                      </c:pt>
                      <c:pt idx="22">
                        <c:v>50000</c:v>
                      </c:pt>
                      <c:pt idx="23">
                        <c:v>50000</c:v>
                      </c:pt>
                      <c:pt idx="24">
                        <c:v>50000</c:v>
                      </c:pt>
                      <c:pt idx="25">
                        <c:v>50000</c:v>
                      </c:pt>
                      <c:pt idx="26">
                        <c:v>50000</c:v>
                      </c:pt>
                      <c:pt idx="27">
                        <c:v>50000</c:v>
                      </c:pt>
                      <c:pt idx="28">
                        <c:v>50000</c:v>
                      </c:pt>
                      <c:pt idx="29">
                        <c:v>50000</c:v>
                      </c:pt>
                      <c:pt idx="30">
                        <c:v>62500</c:v>
                      </c:pt>
                      <c:pt idx="31">
                        <c:v>62500</c:v>
                      </c:pt>
                      <c:pt idx="32">
                        <c:v>62500</c:v>
                      </c:pt>
                      <c:pt idx="33">
                        <c:v>62500</c:v>
                      </c:pt>
                      <c:pt idx="34">
                        <c:v>62500</c:v>
                      </c:pt>
                      <c:pt idx="35">
                        <c:v>62500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5B5-4620-80ED-660B234A9AA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'P&amp;L'!$A$55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'P&amp;L'!$B$47:$AK$47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'P&amp;L'!$B$55:$AK$55</c15:sqref>
                        </c15:formulaRef>
                      </c:ext>
                    </c:extLst>
                    <c:numCache>
                      <c:formatCode>General</c:formatCode>
                      <c:ptCount val="36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5B5-4620-80ED-660B234A9AA6}"/>
                  </c:ext>
                </c:extLst>
              </c15:ser>
            </c15:filteredLineSeries>
          </c:ext>
        </c:extLst>
      </c:lineChart>
      <c:catAx>
        <c:axId val="165196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170655"/>
        <c:crosses val="autoZero"/>
        <c:auto val="1"/>
        <c:lblAlgn val="ctr"/>
        <c:lblOffset val="100"/>
        <c:noMultiLvlLbl val="0"/>
      </c:catAx>
      <c:valAx>
        <c:axId val="214017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P&amp;L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968079"/>
        <c:crosses val="autoZero"/>
        <c:crossBetween val="between"/>
      </c:valAx>
      <c:valAx>
        <c:axId val="18464505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Cummulative Cash Requirements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34223"/>
        <c:crosses val="max"/>
        <c:crossBetween val="between"/>
      </c:valAx>
      <c:catAx>
        <c:axId val="1835342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6450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457200</xdr:colOff>
      <xdr:row>23</xdr:row>
      <xdr:rowOff>14287</xdr:rowOff>
    </xdr:from>
    <xdr:to>
      <xdr:col>11</xdr:col>
      <xdr:colOff>533400</xdr:colOff>
      <xdr:row>46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9A74F0-F9EA-4619-A635-C6EAFE3A5B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60</xdr:row>
      <xdr:rowOff>4761</xdr:rowOff>
    </xdr:from>
    <xdr:to>
      <xdr:col>14</xdr:col>
      <xdr:colOff>342900</xdr:colOff>
      <xdr:row>88</xdr:row>
      <xdr:rowOff>142874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EF0DB6-74CE-0AF5-3379-03C11F1AC4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8123E-3A71-41CB-8047-47E671F11FA1}">
  <dimension ref="A1:AL73"/>
  <sheetViews>
    <sheetView topLeftCell="A21" workbookViewId="0">
      <selection activeCell="C3" sqref="C3"/>
    </sheetView>
  </sheetViews>
  <sheetFormatPr defaultRowHeight="15" x14ac:dyDescent="0.25"/>
  <cols>
    <col min="1" max="1" width="16" customWidth="1"/>
    <col min="3" max="3" width="9.28515625" bestFit="1" customWidth="1"/>
    <col min="4" max="12" width="11.5703125" bestFit="1" customWidth="1"/>
    <col min="13" max="38" width="12.5703125" bestFit="1" customWidth="1"/>
  </cols>
  <sheetData>
    <row r="1" spans="1:38" s="18" customFormat="1" ht="15.75" thickBot="1" x14ac:dyDescent="0.3">
      <c r="A1" s="29" t="s">
        <v>0</v>
      </c>
      <c r="B1" s="29"/>
      <c r="C1" s="29">
        <v>1</v>
      </c>
      <c r="D1" s="29">
        <f>1+C1</f>
        <v>2</v>
      </c>
      <c r="E1" s="29">
        <f t="shared" ref="E1:Z1" si="0">1+D1</f>
        <v>3</v>
      </c>
      <c r="F1" s="29">
        <f t="shared" si="0"/>
        <v>4</v>
      </c>
      <c r="G1" s="29">
        <f t="shared" si="0"/>
        <v>5</v>
      </c>
      <c r="H1" s="29">
        <f t="shared" si="0"/>
        <v>6</v>
      </c>
      <c r="I1" s="29">
        <f t="shared" si="0"/>
        <v>7</v>
      </c>
      <c r="J1" s="29">
        <f t="shared" si="0"/>
        <v>8</v>
      </c>
      <c r="K1" s="29">
        <f t="shared" si="0"/>
        <v>9</v>
      </c>
      <c r="L1" s="29">
        <f t="shared" si="0"/>
        <v>10</v>
      </c>
      <c r="M1" s="29">
        <f t="shared" si="0"/>
        <v>11</v>
      </c>
      <c r="N1" s="29">
        <f t="shared" si="0"/>
        <v>12</v>
      </c>
      <c r="O1" s="29">
        <f t="shared" si="0"/>
        <v>13</v>
      </c>
      <c r="P1" s="29">
        <f t="shared" si="0"/>
        <v>14</v>
      </c>
      <c r="Q1" s="29">
        <f t="shared" si="0"/>
        <v>15</v>
      </c>
      <c r="R1" s="29">
        <f t="shared" si="0"/>
        <v>16</v>
      </c>
      <c r="S1" s="29">
        <f t="shared" si="0"/>
        <v>17</v>
      </c>
      <c r="T1" s="29">
        <f>1+S1</f>
        <v>18</v>
      </c>
      <c r="U1" s="29">
        <f t="shared" si="0"/>
        <v>19</v>
      </c>
      <c r="V1" s="29">
        <f>1+U1</f>
        <v>20</v>
      </c>
      <c r="W1" s="29">
        <f t="shared" si="0"/>
        <v>21</v>
      </c>
      <c r="X1" s="29">
        <f t="shared" si="0"/>
        <v>22</v>
      </c>
      <c r="Y1" s="29">
        <f t="shared" si="0"/>
        <v>23</v>
      </c>
      <c r="Z1" s="29">
        <f t="shared" si="0"/>
        <v>24</v>
      </c>
      <c r="AA1" s="29">
        <f t="shared" ref="AA1" si="1">1+Z1</f>
        <v>25</v>
      </c>
      <c r="AB1" s="29">
        <f t="shared" ref="AB1" si="2">1+AA1</f>
        <v>26</v>
      </c>
      <c r="AC1" s="29">
        <f t="shared" ref="AC1" si="3">1+AB1</f>
        <v>27</v>
      </c>
      <c r="AD1" s="29">
        <f t="shared" ref="AD1" si="4">1+AC1</f>
        <v>28</v>
      </c>
      <c r="AE1" s="29">
        <f t="shared" ref="AE1" si="5">1+AD1</f>
        <v>29</v>
      </c>
      <c r="AF1" s="29">
        <f t="shared" ref="AF1" si="6">1+AE1</f>
        <v>30</v>
      </c>
      <c r="AG1" s="29">
        <f t="shared" ref="AG1" si="7">1+AF1</f>
        <v>31</v>
      </c>
      <c r="AH1" s="29">
        <f t="shared" ref="AH1" si="8">1+AG1</f>
        <v>32</v>
      </c>
      <c r="AI1" s="29">
        <f t="shared" ref="AI1" si="9">1+AH1</f>
        <v>33</v>
      </c>
      <c r="AJ1" s="29">
        <f t="shared" ref="AJ1" si="10">1+AI1</f>
        <v>34</v>
      </c>
      <c r="AK1" s="29">
        <f t="shared" ref="AK1" si="11">1+AJ1</f>
        <v>35</v>
      </c>
      <c r="AL1" s="29">
        <f t="shared" ref="AL1" si="12">1+AK1</f>
        <v>36</v>
      </c>
    </row>
    <row r="2" spans="1:38" ht="16.5" thickTop="1" thickBot="1" x14ac:dyDescent="0.3">
      <c r="A2" t="s">
        <v>26</v>
      </c>
      <c r="C2" s="40">
        <v>0</v>
      </c>
      <c r="D2" s="41">
        <v>1</v>
      </c>
      <c r="E2" s="41">
        <v>2</v>
      </c>
      <c r="F2" s="41">
        <v>2</v>
      </c>
      <c r="G2" s="41">
        <v>4</v>
      </c>
      <c r="H2" s="41">
        <v>4</v>
      </c>
      <c r="I2" s="41">
        <v>5</v>
      </c>
      <c r="J2" s="41">
        <v>5</v>
      </c>
      <c r="K2" s="41">
        <v>6</v>
      </c>
      <c r="L2" s="41">
        <v>6</v>
      </c>
      <c r="M2" s="41">
        <v>8</v>
      </c>
      <c r="N2" s="41">
        <v>8</v>
      </c>
      <c r="O2" s="41">
        <v>8</v>
      </c>
      <c r="P2" s="41">
        <v>8</v>
      </c>
      <c r="Q2" s="41">
        <v>10</v>
      </c>
      <c r="R2" s="41">
        <v>10</v>
      </c>
      <c r="S2" s="41">
        <v>10</v>
      </c>
      <c r="T2" s="41">
        <v>10</v>
      </c>
      <c r="U2" s="41">
        <v>10</v>
      </c>
      <c r="V2" s="41">
        <v>10</v>
      </c>
      <c r="W2" s="41">
        <v>10</v>
      </c>
      <c r="X2" s="41">
        <v>10</v>
      </c>
      <c r="Y2" s="41">
        <v>10</v>
      </c>
      <c r="Z2" s="41">
        <v>10</v>
      </c>
      <c r="AA2" s="41">
        <v>12</v>
      </c>
      <c r="AB2" s="41">
        <v>12</v>
      </c>
      <c r="AC2" s="41">
        <v>12</v>
      </c>
      <c r="AD2" s="41">
        <v>12</v>
      </c>
      <c r="AE2" s="41">
        <v>15</v>
      </c>
      <c r="AF2" s="41">
        <v>15</v>
      </c>
      <c r="AG2" s="41">
        <v>15</v>
      </c>
      <c r="AH2" s="41">
        <v>15</v>
      </c>
      <c r="AI2" s="41">
        <v>20</v>
      </c>
      <c r="AJ2" s="41">
        <v>20</v>
      </c>
      <c r="AK2" s="41">
        <v>20</v>
      </c>
      <c r="AL2" s="42">
        <v>20</v>
      </c>
    </row>
    <row r="3" spans="1:38" ht="15.75" thickTop="1" x14ac:dyDescent="0.25">
      <c r="A3" t="s">
        <v>6</v>
      </c>
      <c r="C3" s="17">
        <f t="shared" ref="C3:AL3" si="13">C2*$B14</f>
        <v>0</v>
      </c>
      <c r="D3" s="17">
        <f t="shared" si="13"/>
        <v>30000</v>
      </c>
      <c r="E3" s="17">
        <f t="shared" si="13"/>
        <v>60000</v>
      </c>
      <c r="F3" s="17">
        <f t="shared" si="13"/>
        <v>60000</v>
      </c>
      <c r="G3" s="17">
        <f t="shared" si="13"/>
        <v>120000</v>
      </c>
      <c r="H3" s="17">
        <f t="shared" si="13"/>
        <v>120000</v>
      </c>
      <c r="I3" s="17">
        <f t="shared" si="13"/>
        <v>150000</v>
      </c>
      <c r="J3" s="17">
        <f t="shared" si="13"/>
        <v>150000</v>
      </c>
      <c r="K3" s="17">
        <f t="shared" si="13"/>
        <v>180000</v>
      </c>
      <c r="L3" s="17">
        <f t="shared" si="13"/>
        <v>180000</v>
      </c>
      <c r="M3" s="17">
        <f t="shared" si="13"/>
        <v>240000</v>
      </c>
      <c r="N3" s="17">
        <f t="shared" si="13"/>
        <v>240000</v>
      </c>
      <c r="O3" s="17">
        <f t="shared" si="13"/>
        <v>240000</v>
      </c>
      <c r="P3" s="17">
        <f t="shared" si="13"/>
        <v>240000</v>
      </c>
      <c r="Q3" s="17">
        <f t="shared" si="13"/>
        <v>300000</v>
      </c>
      <c r="R3" s="17">
        <f t="shared" si="13"/>
        <v>300000</v>
      </c>
      <c r="S3" s="17">
        <f t="shared" si="13"/>
        <v>300000</v>
      </c>
      <c r="T3" s="17">
        <f t="shared" si="13"/>
        <v>300000</v>
      </c>
      <c r="U3" s="17">
        <f t="shared" si="13"/>
        <v>300000</v>
      </c>
      <c r="V3" s="17">
        <f t="shared" si="13"/>
        <v>300000</v>
      </c>
      <c r="W3" s="17">
        <f t="shared" si="13"/>
        <v>300000</v>
      </c>
      <c r="X3" s="17">
        <f t="shared" si="13"/>
        <v>300000</v>
      </c>
      <c r="Y3" s="17">
        <f t="shared" si="13"/>
        <v>300000</v>
      </c>
      <c r="Z3" s="17">
        <f t="shared" si="13"/>
        <v>300000</v>
      </c>
      <c r="AA3" s="17">
        <f t="shared" si="13"/>
        <v>360000</v>
      </c>
      <c r="AB3" s="17">
        <f t="shared" si="13"/>
        <v>360000</v>
      </c>
      <c r="AC3" s="17">
        <f t="shared" si="13"/>
        <v>360000</v>
      </c>
      <c r="AD3" s="17">
        <f t="shared" si="13"/>
        <v>360000</v>
      </c>
      <c r="AE3" s="17">
        <f t="shared" si="13"/>
        <v>450000</v>
      </c>
      <c r="AF3" s="17">
        <f t="shared" si="13"/>
        <v>450000</v>
      </c>
      <c r="AG3" s="17">
        <f t="shared" si="13"/>
        <v>450000</v>
      </c>
      <c r="AH3" s="17">
        <f t="shared" si="13"/>
        <v>450000</v>
      </c>
      <c r="AI3" s="17">
        <f t="shared" si="13"/>
        <v>600000</v>
      </c>
      <c r="AJ3" s="17">
        <f t="shared" si="13"/>
        <v>600000</v>
      </c>
      <c r="AK3" s="17">
        <f t="shared" si="13"/>
        <v>600000</v>
      </c>
      <c r="AL3" s="17">
        <f t="shared" si="13"/>
        <v>600000</v>
      </c>
    </row>
    <row r="5" spans="1:38" s="4" customFormat="1" x14ac:dyDescent="0.25">
      <c r="A5" s="11" t="s">
        <v>1</v>
      </c>
      <c r="B5" s="11"/>
      <c r="C5" s="11">
        <f>SUM(C12:C47)</f>
        <v>0</v>
      </c>
      <c r="D5" s="11">
        <f>SUM(D12:D47)</f>
        <v>2500</v>
      </c>
      <c r="E5" s="11">
        <f t="shared" ref="E5:AL5" si="14">SUM(E12:E47)</f>
        <v>7500</v>
      </c>
      <c r="F5" s="11">
        <f t="shared" si="14"/>
        <v>12500</v>
      </c>
      <c r="G5" s="11">
        <f t="shared" si="14"/>
        <v>22500</v>
      </c>
      <c r="H5" s="11">
        <f t="shared" si="14"/>
        <v>32500</v>
      </c>
      <c r="I5" s="11">
        <f t="shared" si="14"/>
        <v>45000</v>
      </c>
      <c r="J5" s="11">
        <f t="shared" si="14"/>
        <v>57500</v>
      </c>
      <c r="K5" s="11">
        <f t="shared" si="14"/>
        <v>72500</v>
      </c>
      <c r="L5" s="11">
        <f t="shared" si="14"/>
        <v>87500</v>
      </c>
      <c r="M5" s="11">
        <f t="shared" si="14"/>
        <v>107500</v>
      </c>
      <c r="N5" s="11">
        <f t="shared" si="14"/>
        <v>127500</v>
      </c>
      <c r="O5" s="11">
        <f t="shared" si="14"/>
        <v>147500</v>
      </c>
      <c r="P5" s="11">
        <f t="shared" si="14"/>
        <v>165000</v>
      </c>
      <c r="Q5" s="11">
        <f t="shared" si="14"/>
        <v>185000</v>
      </c>
      <c r="R5" s="11">
        <f t="shared" si="14"/>
        <v>205000</v>
      </c>
      <c r="S5" s="11">
        <f t="shared" si="14"/>
        <v>220000</v>
      </c>
      <c r="T5" s="11">
        <f t="shared" si="14"/>
        <v>235000</v>
      </c>
      <c r="U5" s="11">
        <f t="shared" si="14"/>
        <v>247500</v>
      </c>
      <c r="V5" s="11">
        <f t="shared" si="14"/>
        <v>260000</v>
      </c>
      <c r="W5" s="11">
        <f t="shared" si="14"/>
        <v>270000</v>
      </c>
      <c r="X5" s="11">
        <f t="shared" si="14"/>
        <v>280000</v>
      </c>
      <c r="Y5" s="11">
        <f t="shared" si="14"/>
        <v>285000</v>
      </c>
      <c r="Z5" s="11">
        <f t="shared" si="14"/>
        <v>290000</v>
      </c>
      <c r="AA5" s="11">
        <f t="shared" si="14"/>
        <v>300000</v>
      </c>
      <c r="AB5" s="11">
        <f t="shared" si="14"/>
        <v>310000</v>
      </c>
      <c r="AC5" s="11">
        <f t="shared" si="14"/>
        <v>315000</v>
      </c>
      <c r="AD5" s="11">
        <f t="shared" si="14"/>
        <v>320000</v>
      </c>
      <c r="AE5" s="11">
        <f t="shared" si="14"/>
        <v>332500</v>
      </c>
      <c r="AF5" s="11">
        <f t="shared" si="14"/>
        <v>345000</v>
      </c>
      <c r="AG5" s="11">
        <f t="shared" si="14"/>
        <v>357500</v>
      </c>
      <c r="AH5" s="11">
        <f t="shared" si="14"/>
        <v>370000</v>
      </c>
      <c r="AI5" s="11">
        <f t="shared" si="14"/>
        <v>395000</v>
      </c>
      <c r="AJ5" s="11">
        <f t="shared" si="14"/>
        <v>420000</v>
      </c>
      <c r="AK5" s="11">
        <f t="shared" si="14"/>
        <v>445000</v>
      </c>
      <c r="AL5" s="11">
        <f t="shared" si="14"/>
        <v>470000</v>
      </c>
    </row>
    <row r="6" spans="1:38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</row>
    <row r="7" spans="1:38" x14ac:dyDescent="0.25">
      <c r="A7" s="12" t="s">
        <v>4</v>
      </c>
      <c r="B7" s="12"/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1">
        <f>SUM(O49:O73)</f>
        <v>0</v>
      </c>
      <c r="P7" s="11">
        <f>SUM(P49:P73)</f>
        <v>2000</v>
      </c>
      <c r="Q7" s="11">
        <f t="shared" ref="Q7:AL7" si="15">SUM(Q49:Q73)</f>
        <v>6000</v>
      </c>
      <c r="R7" s="11">
        <f t="shared" si="15"/>
        <v>10000</v>
      </c>
      <c r="S7" s="11">
        <f t="shared" si="15"/>
        <v>18000</v>
      </c>
      <c r="T7" s="11">
        <f t="shared" si="15"/>
        <v>26000</v>
      </c>
      <c r="U7" s="11">
        <f t="shared" si="15"/>
        <v>36000</v>
      </c>
      <c r="V7" s="11">
        <f t="shared" si="15"/>
        <v>46000</v>
      </c>
      <c r="W7" s="11">
        <f t="shared" si="15"/>
        <v>58000</v>
      </c>
      <c r="X7" s="11">
        <f t="shared" si="15"/>
        <v>70000</v>
      </c>
      <c r="Y7" s="11">
        <f t="shared" si="15"/>
        <v>86000</v>
      </c>
      <c r="Z7" s="11">
        <f t="shared" si="15"/>
        <v>102000</v>
      </c>
      <c r="AA7" s="11">
        <f t="shared" si="15"/>
        <v>120000</v>
      </c>
      <c r="AB7" s="11">
        <f t="shared" si="15"/>
        <v>137800</v>
      </c>
      <c r="AC7" s="11">
        <f t="shared" si="15"/>
        <v>159900</v>
      </c>
      <c r="AD7" s="11">
        <f t="shared" si="15"/>
        <v>182000</v>
      </c>
      <c r="AE7" s="11">
        <f t="shared" si="15"/>
        <v>203700</v>
      </c>
      <c r="AF7" s="11">
        <f t="shared" si="15"/>
        <v>225400</v>
      </c>
      <c r="AG7" s="11">
        <f t="shared" si="15"/>
        <v>246900</v>
      </c>
      <c r="AH7" s="11">
        <f t="shared" si="15"/>
        <v>268400</v>
      </c>
      <c r="AI7" s="11">
        <f t="shared" si="15"/>
        <v>289700</v>
      </c>
      <c r="AJ7" s="11">
        <f t="shared" si="15"/>
        <v>311000</v>
      </c>
      <c r="AK7" s="11">
        <f t="shared" si="15"/>
        <v>331900</v>
      </c>
      <c r="AL7" s="11">
        <f t="shared" si="15"/>
        <v>352800</v>
      </c>
    </row>
    <row r="8" spans="1:38" x14ac:dyDescent="0.25">
      <c r="A8" s="12" t="s">
        <v>29</v>
      </c>
      <c r="B8" s="12"/>
      <c r="C8" s="17">
        <f>C3*$B$16</f>
        <v>0</v>
      </c>
      <c r="D8" s="17">
        <f t="shared" ref="D8:AL8" si="16">D3*$B$16</f>
        <v>9000</v>
      </c>
      <c r="E8" s="17">
        <f t="shared" si="16"/>
        <v>18000</v>
      </c>
      <c r="F8" s="17">
        <f t="shared" si="16"/>
        <v>18000</v>
      </c>
      <c r="G8" s="17">
        <f t="shared" si="16"/>
        <v>36000</v>
      </c>
      <c r="H8" s="17">
        <f t="shared" si="16"/>
        <v>36000</v>
      </c>
      <c r="I8" s="17">
        <f t="shared" si="16"/>
        <v>45000</v>
      </c>
      <c r="J8" s="17">
        <f t="shared" si="16"/>
        <v>45000</v>
      </c>
      <c r="K8" s="17">
        <f t="shared" si="16"/>
        <v>54000</v>
      </c>
      <c r="L8" s="17">
        <f t="shared" si="16"/>
        <v>54000</v>
      </c>
      <c r="M8" s="17">
        <f t="shared" si="16"/>
        <v>72000</v>
      </c>
      <c r="N8" s="17">
        <f t="shared" si="16"/>
        <v>72000</v>
      </c>
      <c r="O8" s="17">
        <f t="shared" si="16"/>
        <v>72000</v>
      </c>
      <c r="P8" s="17">
        <f t="shared" si="16"/>
        <v>72000</v>
      </c>
      <c r="Q8" s="17">
        <f t="shared" si="16"/>
        <v>90000</v>
      </c>
      <c r="R8" s="17">
        <f t="shared" si="16"/>
        <v>90000</v>
      </c>
      <c r="S8" s="17">
        <f t="shared" si="16"/>
        <v>90000</v>
      </c>
      <c r="T8" s="17">
        <f t="shared" si="16"/>
        <v>90000</v>
      </c>
      <c r="U8" s="17">
        <f t="shared" si="16"/>
        <v>90000</v>
      </c>
      <c r="V8" s="17">
        <f t="shared" si="16"/>
        <v>90000</v>
      </c>
      <c r="W8" s="17">
        <f t="shared" si="16"/>
        <v>90000</v>
      </c>
      <c r="X8" s="17">
        <f t="shared" si="16"/>
        <v>90000</v>
      </c>
      <c r="Y8" s="17">
        <f t="shared" si="16"/>
        <v>90000</v>
      </c>
      <c r="Z8" s="17">
        <f t="shared" si="16"/>
        <v>90000</v>
      </c>
      <c r="AA8" s="17">
        <f t="shared" si="16"/>
        <v>108000</v>
      </c>
      <c r="AB8" s="17">
        <f t="shared" si="16"/>
        <v>108000</v>
      </c>
      <c r="AC8" s="17">
        <f t="shared" si="16"/>
        <v>108000</v>
      </c>
      <c r="AD8" s="17">
        <f t="shared" si="16"/>
        <v>108000</v>
      </c>
      <c r="AE8" s="17">
        <f t="shared" si="16"/>
        <v>135000</v>
      </c>
      <c r="AF8" s="17">
        <f t="shared" si="16"/>
        <v>135000</v>
      </c>
      <c r="AG8" s="17">
        <f t="shared" si="16"/>
        <v>135000</v>
      </c>
      <c r="AH8" s="17">
        <f t="shared" si="16"/>
        <v>135000</v>
      </c>
      <c r="AI8" s="17">
        <f t="shared" si="16"/>
        <v>180000</v>
      </c>
      <c r="AJ8" s="17">
        <f t="shared" si="16"/>
        <v>180000</v>
      </c>
      <c r="AK8" s="17">
        <f t="shared" si="16"/>
        <v>180000</v>
      </c>
      <c r="AL8" s="17">
        <f t="shared" si="16"/>
        <v>180000</v>
      </c>
    </row>
    <row r="9" spans="1:38" x14ac:dyDescent="0.25">
      <c r="A9" s="12" t="s">
        <v>27</v>
      </c>
      <c r="B9" s="12"/>
      <c r="C9" s="14">
        <f>C5+C7</f>
        <v>0</v>
      </c>
      <c r="D9" s="15">
        <f>D5+D7+D8</f>
        <v>11500</v>
      </c>
      <c r="E9" s="15">
        <f t="shared" ref="E9:AL9" si="17">E5+E7+E8</f>
        <v>25500</v>
      </c>
      <c r="F9" s="15">
        <f t="shared" si="17"/>
        <v>30500</v>
      </c>
      <c r="G9" s="15">
        <f t="shared" si="17"/>
        <v>58500</v>
      </c>
      <c r="H9" s="15">
        <f t="shared" si="17"/>
        <v>68500</v>
      </c>
      <c r="I9" s="15">
        <f t="shared" si="17"/>
        <v>90000</v>
      </c>
      <c r="J9" s="15">
        <f t="shared" si="17"/>
        <v>102500</v>
      </c>
      <c r="K9" s="15">
        <f t="shared" si="17"/>
        <v>126500</v>
      </c>
      <c r="L9" s="15">
        <f t="shared" si="17"/>
        <v>141500</v>
      </c>
      <c r="M9" s="15">
        <f t="shared" si="17"/>
        <v>179500</v>
      </c>
      <c r="N9" s="15">
        <f t="shared" si="17"/>
        <v>199500</v>
      </c>
      <c r="O9" s="15">
        <f t="shared" si="17"/>
        <v>219500</v>
      </c>
      <c r="P9" s="15">
        <f t="shared" si="17"/>
        <v>239000</v>
      </c>
      <c r="Q9" s="15">
        <f t="shared" si="17"/>
        <v>281000</v>
      </c>
      <c r="R9" s="15">
        <f t="shared" si="17"/>
        <v>305000</v>
      </c>
      <c r="S9" s="15">
        <f t="shared" si="17"/>
        <v>328000</v>
      </c>
      <c r="T9" s="15">
        <f t="shared" si="17"/>
        <v>351000</v>
      </c>
      <c r="U9" s="15">
        <f t="shared" si="17"/>
        <v>373500</v>
      </c>
      <c r="V9" s="15">
        <f t="shared" si="17"/>
        <v>396000</v>
      </c>
      <c r="W9" s="15">
        <f t="shared" si="17"/>
        <v>418000</v>
      </c>
      <c r="X9" s="15">
        <f t="shared" si="17"/>
        <v>440000</v>
      </c>
      <c r="Y9" s="15">
        <f t="shared" si="17"/>
        <v>461000</v>
      </c>
      <c r="Z9" s="15">
        <f t="shared" si="17"/>
        <v>482000</v>
      </c>
      <c r="AA9" s="15">
        <f t="shared" si="17"/>
        <v>528000</v>
      </c>
      <c r="AB9" s="15">
        <f t="shared" si="17"/>
        <v>555800</v>
      </c>
      <c r="AC9" s="15">
        <f t="shared" si="17"/>
        <v>582900</v>
      </c>
      <c r="AD9" s="15">
        <f t="shared" si="17"/>
        <v>610000</v>
      </c>
      <c r="AE9" s="15">
        <f t="shared" si="17"/>
        <v>671200</v>
      </c>
      <c r="AF9" s="15">
        <f t="shared" si="17"/>
        <v>705400</v>
      </c>
      <c r="AG9" s="15">
        <f t="shared" si="17"/>
        <v>739400</v>
      </c>
      <c r="AH9" s="15">
        <f t="shared" si="17"/>
        <v>773400</v>
      </c>
      <c r="AI9" s="15">
        <f t="shared" si="17"/>
        <v>864700</v>
      </c>
      <c r="AJ9" s="15">
        <f t="shared" si="17"/>
        <v>911000</v>
      </c>
      <c r="AK9" s="15">
        <f t="shared" si="17"/>
        <v>956900</v>
      </c>
      <c r="AL9" s="15">
        <f t="shared" si="17"/>
        <v>1002800</v>
      </c>
    </row>
    <row r="10" spans="1:38" x14ac:dyDescent="0.25">
      <c r="A10" s="12" t="s">
        <v>28</v>
      </c>
      <c r="B10" s="12"/>
      <c r="C10" s="12"/>
      <c r="D10" s="12"/>
      <c r="E10" s="15">
        <f>SUM(C9:E9)</f>
        <v>37000</v>
      </c>
      <c r="F10" s="14"/>
      <c r="G10" s="12"/>
      <c r="H10" s="15">
        <f>SUM(F9:H9)</f>
        <v>157500</v>
      </c>
      <c r="I10" s="12"/>
      <c r="J10" s="12"/>
      <c r="K10" s="15">
        <f>SUM(I9:K9)</f>
        <v>319000</v>
      </c>
      <c r="L10" s="12"/>
      <c r="M10" s="12"/>
      <c r="N10" s="15">
        <f>SUM(L9:N9)</f>
        <v>520500</v>
      </c>
      <c r="O10" s="12"/>
      <c r="P10" s="12"/>
      <c r="Q10" s="15">
        <f>SUM(O9:Q9)</f>
        <v>739500</v>
      </c>
      <c r="R10" s="12"/>
      <c r="S10" s="12"/>
      <c r="T10" s="15">
        <f>SUM(R9:T9)</f>
        <v>984000</v>
      </c>
      <c r="U10" s="12"/>
      <c r="V10" s="12"/>
      <c r="W10" s="15">
        <f>SUM(U9:W9)</f>
        <v>1187500</v>
      </c>
      <c r="X10" s="12"/>
      <c r="Y10" s="12"/>
      <c r="Z10" s="15">
        <f>SUM(X9:Z9)</f>
        <v>1383000</v>
      </c>
      <c r="AA10" s="12"/>
      <c r="AB10" s="12"/>
      <c r="AC10" s="15">
        <f>SUM(AA9:AC9)</f>
        <v>1666700</v>
      </c>
      <c r="AD10" s="12"/>
      <c r="AE10" s="12"/>
      <c r="AF10" s="15">
        <f>SUM(AD9:AF9)</f>
        <v>1986600</v>
      </c>
      <c r="AG10" s="12"/>
      <c r="AH10" s="12"/>
      <c r="AI10" s="15">
        <f>SUM(AG9:AI9)</f>
        <v>2377500</v>
      </c>
      <c r="AJ10" s="12"/>
      <c r="AK10" s="12"/>
      <c r="AL10" s="15">
        <f>SUM(AJ9:AL9)</f>
        <v>2870700</v>
      </c>
    </row>
    <row r="12" spans="1:38" x14ac:dyDescent="0.25">
      <c r="A12" s="30" t="s">
        <v>2</v>
      </c>
      <c r="B12" s="2"/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6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6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ht="15.75" thickBot="1" x14ac:dyDescent="0.3">
      <c r="A13" s="2"/>
      <c r="B13" s="2"/>
      <c r="C13" s="2">
        <v>0</v>
      </c>
      <c r="D13" s="3">
        <f>$D3/12</f>
        <v>2500</v>
      </c>
      <c r="E13" s="3">
        <f t="shared" ref="E13:O13" si="18">$D3/12</f>
        <v>2500</v>
      </c>
      <c r="F13" s="3">
        <f t="shared" si="18"/>
        <v>2500</v>
      </c>
      <c r="G13" s="3">
        <f t="shared" si="18"/>
        <v>2500</v>
      </c>
      <c r="H13" s="3">
        <f t="shared" si="18"/>
        <v>2500</v>
      </c>
      <c r="I13" s="3">
        <f t="shared" si="18"/>
        <v>2500</v>
      </c>
      <c r="J13" s="3">
        <f t="shared" si="18"/>
        <v>2500</v>
      </c>
      <c r="K13" s="3">
        <f t="shared" si="18"/>
        <v>2500</v>
      </c>
      <c r="L13" s="3">
        <f t="shared" si="18"/>
        <v>2500</v>
      </c>
      <c r="M13" s="3">
        <f t="shared" si="18"/>
        <v>2500</v>
      </c>
      <c r="N13" s="3">
        <f t="shared" si="18"/>
        <v>2500</v>
      </c>
      <c r="O13" s="7">
        <f t="shared" si="18"/>
        <v>2500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6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ht="15.75" thickBot="1" x14ac:dyDescent="0.3">
      <c r="A14" s="20" t="s">
        <v>30</v>
      </c>
      <c r="B14" s="33">
        <v>30000</v>
      </c>
      <c r="C14" s="20" t="s">
        <v>52</v>
      </c>
      <c r="D14" s="2"/>
      <c r="E14" s="3">
        <f>$E3/12</f>
        <v>5000</v>
      </c>
      <c r="F14" s="3">
        <f t="shared" ref="F14:P14" si="19">$E3/12</f>
        <v>5000</v>
      </c>
      <c r="G14" s="3">
        <f t="shared" si="19"/>
        <v>5000</v>
      </c>
      <c r="H14" s="3">
        <f t="shared" si="19"/>
        <v>5000</v>
      </c>
      <c r="I14" s="3">
        <f t="shared" si="19"/>
        <v>5000</v>
      </c>
      <c r="J14" s="3">
        <f t="shared" si="19"/>
        <v>5000</v>
      </c>
      <c r="K14" s="3">
        <f t="shared" si="19"/>
        <v>5000</v>
      </c>
      <c r="L14" s="3">
        <f t="shared" si="19"/>
        <v>5000</v>
      </c>
      <c r="M14" s="3">
        <f t="shared" si="19"/>
        <v>5000</v>
      </c>
      <c r="N14" s="3">
        <f t="shared" si="19"/>
        <v>5000</v>
      </c>
      <c r="O14" s="7">
        <f t="shared" si="19"/>
        <v>5000</v>
      </c>
      <c r="P14" s="3">
        <f t="shared" si="19"/>
        <v>5000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6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ht="15.75" thickBot="1" x14ac:dyDescent="0.3">
      <c r="A15" s="20" t="s">
        <v>50</v>
      </c>
      <c r="B15" s="34"/>
      <c r="C15" s="20"/>
      <c r="D15" s="2"/>
      <c r="E15" s="2"/>
      <c r="F15" s="3">
        <f>$F3/12</f>
        <v>5000</v>
      </c>
      <c r="G15" s="3">
        <f t="shared" ref="G15:Q15" si="20">$F3/12</f>
        <v>5000</v>
      </c>
      <c r="H15" s="3">
        <f t="shared" si="20"/>
        <v>5000</v>
      </c>
      <c r="I15" s="3">
        <f t="shared" si="20"/>
        <v>5000</v>
      </c>
      <c r="J15" s="3">
        <f t="shared" si="20"/>
        <v>5000</v>
      </c>
      <c r="K15" s="3">
        <f t="shared" si="20"/>
        <v>5000</v>
      </c>
      <c r="L15" s="3">
        <f t="shared" si="20"/>
        <v>5000</v>
      </c>
      <c r="M15" s="3">
        <f t="shared" si="20"/>
        <v>5000</v>
      </c>
      <c r="N15" s="3">
        <f t="shared" si="20"/>
        <v>5000</v>
      </c>
      <c r="O15" s="7">
        <f t="shared" si="20"/>
        <v>5000</v>
      </c>
      <c r="P15" s="3">
        <f t="shared" si="20"/>
        <v>5000</v>
      </c>
      <c r="Q15" s="3">
        <f t="shared" si="20"/>
        <v>5000</v>
      </c>
      <c r="R15" s="2"/>
      <c r="S15" s="2"/>
      <c r="T15" s="2"/>
      <c r="U15" s="2"/>
      <c r="V15" s="2"/>
      <c r="W15" s="2"/>
      <c r="X15" s="2"/>
      <c r="Y15" s="2"/>
      <c r="Z15" s="2"/>
      <c r="AA15" s="6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ht="15.75" thickBot="1" x14ac:dyDescent="0.3">
      <c r="A16" s="20" t="s">
        <v>51</v>
      </c>
      <c r="B16" s="35">
        <v>0.3</v>
      </c>
      <c r="C16" s="20"/>
      <c r="D16" s="2"/>
      <c r="E16" s="2"/>
      <c r="F16" s="2"/>
      <c r="G16" s="3">
        <f>$G3/12</f>
        <v>10000</v>
      </c>
      <c r="H16" s="3">
        <f t="shared" ref="H16:R16" si="21">$G3/12</f>
        <v>10000</v>
      </c>
      <c r="I16" s="3">
        <f t="shared" si="21"/>
        <v>10000</v>
      </c>
      <c r="J16" s="3">
        <f t="shared" si="21"/>
        <v>10000</v>
      </c>
      <c r="K16" s="3">
        <f t="shared" si="21"/>
        <v>10000</v>
      </c>
      <c r="L16" s="3">
        <f t="shared" si="21"/>
        <v>10000</v>
      </c>
      <c r="M16" s="3">
        <f t="shared" si="21"/>
        <v>10000</v>
      </c>
      <c r="N16" s="3">
        <f t="shared" si="21"/>
        <v>10000</v>
      </c>
      <c r="O16" s="7">
        <f t="shared" si="21"/>
        <v>10000</v>
      </c>
      <c r="P16" s="3">
        <f t="shared" si="21"/>
        <v>10000</v>
      </c>
      <c r="Q16" s="3">
        <f t="shared" si="21"/>
        <v>10000</v>
      </c>
      <c r="R16" s="3">
        <f t="shared" si="21"/>
        <v>10000</v>
      </c>
      <c r="S16" s="2"/>
      <c r="T16" s="2"/>
      <c r="U16" s="2"/>
      <c r="V16" s="2"/>
      <c r="W16" s="2"/>
      <c r="X16" s="2"/>
      <c r="Y16" s="2"/>
      <c r="Z16" s="2"/>
      <c r="AA16" s="6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ht="15.75" thickBot="1" x14ac:dyDescent="0.3">
      <c r="A17" s="2"/>
      <c r="B17" s="36"/>
      <c r="C17" s="2"/>
      <c r="D17" s="2"/>
      <c r="E17" s="2"/>
      <c r="F17" s="2"/>
      <c r="G17" s="2"/>
      <c r="H17" s="3">
        <f>$H3/12</f>
        <v>10000</v>
      </c>
      <c r="I17" s="3">
        <f t="shared" ref="I17:S17" si="22">$H3/12</f>
        <v>10000</v>
      </c>
      <c r="J17" s="3">
        <f t="shared" si="22"/>
        <v>10000</v>
      </c>
      <c r="K17" s="3">
        <f t="shared" si="22"/>
        <v>10000</v>
      </c>
      <c r="L17" s="3">
        <f t="shared" si="22"/>
        <v>10000</v>
      </c>
      <c r="M17" s="3">
        <f t="shared" si="22"/>
        <v>10000</v>
      </c>
      <c r="N17" s="3">
        <f t="shared" si="22"/>
        <v>10000</v>
      </c>
      <c r="O17" s="7">
        <f t="shared" si="22"/>
        <v>10000</v>
      </c>
      <c r="P17" s="3">
        <f t="shared" si="22"/>
        <v>10000</v>
      </c>
      <c r="Q17" s="3">
        <f t="shared" si="22"/>
        <v>10000</v>
      </c>
      <c r="R17" s="3">
        <f t="shared" si="22"/>
        <v>10000</v>
      </c>
      <c r="S17" s="3">
        <f t="shared" si="22"/>
        <v>10000</v>
      </c>
      <c r="T17" s="2"/>
      <c r="U17" s="2"/>
      <c r="V17" s="2"/>
      <c r="W17" s="2"/>
      <c r="X17" s="2"/>
      <c r="Y17" s="2"/>
      <c r="Z17" s="2"/>
      <c r="AA17" s="6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ht="19.5" thickBot="1" x14ac:dyDescent="0.35">
      <c r="A18" s="37" t="s">
        <v>31</v>
      </c>
      <c r="B18" s="38"/>
      <c r="C18" s="38"/>
      <c r="D18" s="39"/>
      <c r="E18" s="2"/>
      <c r="F18" s="2"/>
      <c r="G18" s="2"/>
      <c r="H18" s="2"/>
      <c r="I18" s="3">
        <f>$I3/12</f>
        <v>12500</v>
      </c>
      <c r="J18" s="3">
        <f t="shared" ref="J18:T18" si="23">$I3/12</f>
        <v>12500</v>
      </c>
      <c r="K18" s="3">
        <f t="shared" si="23"/>
        <v>12500</v>
      </c>
      <c r="L18" s="3">
        <f t="shared" si="23"/>
        <v>12500</v>
      </c>
      <c r="M18" s="3">
        <f t="shared" si="23"/>
        <v>12500</v>
      </c>
      <c r="N18" s="3">
        <f t="shared" si="23"/>
        <v>12500</v>
      </c>
      <c r="O18" s="7">
        <f t="shared" si="23"/>
        <v>12500</v>
      </c>
      <c r="P18" s="3">
        <f t="shared" si="23"/>
        <v>12500</v>
      </c>
      <c r="Q18" s="3">
        <f t="shared" si="23"/>
        <v>12500</v>
      </c>
      <c r="R18" s="3">
        <f t="shared" si="23"/>
        <v>12500</v>
      </c>
      <c r="S18" s="3">
        <f t="shared" si="23"/>
        <v>12500</v>
      </c>
      <c r="T18" s="3">
        <f t="shared" si="23"/>
        <v>12500</v>
      </c>
      <c r="U18" s="2"/>
      <c r="V18" s="2"/>
      <c r="W18" s="2"/>
      <c r="X18" s="2"/>
      <c r="Y18" s="2"/>
      <c r="Z18" s="2"/>
      <c r="AA18" s="6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2"/>
      <c r="B19" s="2"/>
      <c r="C19" s="2"/>
      <c r="D19" s="2"/>
      <c r="E19" s="2"/>
      <c r="F19" s="2"/>
      <c r="G19" s="2"/>
      <c r="H19" s="2"/>
      <c r="I19" s="2"/>
      <c r="J19" s="3">
        <f>$J$3/12</f>
        <v>12500</v>
      </c>
      <c r="K19" s="3">
        <f t="shared" ref="K19:U19" si="24">$J$3/12</f>
        <v>12500</v>
      </c>
      <c r="L19" s="3">
        <f t="shared" si="24"/>
        <v>12500</v>
      </c>
      <c r="M19" s="3">
        <f t="shared" si="24"/>
        <v>12500</v>
      </c>
      <c r="N19" s="3">
        <f t="shared" si="24"/>
        <v>12500</v>
      </c>
      <c r="O19" s="7">
        <f t="shared" si="24"/>
        <v>12500</v>
      </c>
      <c r="P19" s="3">
        <f t="shared" si="24"/>
        <v>12500</v>
      </c>
      <c r="Q19" s="3">
        <f t="shared" si="24"/>
        <v>12500</v>
      </c>
      <c r="R19" s="3">
        <f t="shared" si="24"/>
        <v>12500</v>
      </c>
      <c r="S19" s="3">
        <f t="shared" si="24"/>
        <v>12500</v>
      </c>
      <c r="T19" s="3">
        <f t="shared" si="24"/>
        <v>12500</v>
      </c>
      <c r="U19" s="3">
        <f t="shared" si="24"/>
        <v>12500</v>
      </c>
      <c r="V19" s="2"/>
      <c r="W19" s="2"/>
      <c r="X19" s="2"/>
      <c r="Y19" s="2"/>
      <c r="Z19" s="2"/>
      <c r="AA19" s="6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71" t="s">
        <v>63</v>
      </c>
      <c r="B20" s="71"/>
      <c r="C20" s="71"/>
      <c r="D20" s="71"/>
      <c r="E20" s="71"/>
      <c r="F20" s="2"/>
      <c r="G20" s="2"/>
      <c r="H20" s="2"/>
      <c r="I20" s="2"/>
      <c r="J20" s="2"/>
      <c r="K20" s="3">
        <f>$K$3/12</f>
        <v>15000</v>
      </c>
      <c r="L20" s="3">
        <f t="shared" ref="L20:V20" si="25">$K$3/12</f>
        <v>15000</v>
      </c>
      <c r="M20" s="3">
        <f t="shared" si="25"/>
        <v>15000</v>
      </c>
      <c r="N20" s="3">
        <f t="shared" si="25"/>
        <v>15000</v>
      </c>
      <c r="O20" s="7">
        <f t="shared" si="25"/>
        <v>15000</v>
      </c>
      <c r="P20" s="3">
        <f t="shared" si="25"/>
        <v>15000</v>
      </c>
      <c r="Q20" s="3">
        <f t="shared" si="25"/>
        <v>15000</v>
      </c>
      <c r="R20" s="3">
        <f t="shared" si="25"/>
        <v>15000</v>
      </c>
      <c r="S20" s="3">
        <f t="shared" si="25"/>
        <v>15000</v>
      </c>
      <c r="T20" s="3">
        <f t="shared" si="25"/>
        <v>15000</v>
      </c>
      <c r="U20" s="3">
        <f t="shared" si="25"/>
        <v>15000</v>
      </c>
      <c r="V20" s="3">
        <f t="shared" si="25"/>
        <v>15000</v>
      </c>
      <c r="W20" s="2"/>
      <c r="X20" s="2"/>
      <c r="Y20" s="2"/>
      <c r="Z20" s="2"/>
      <c r="AA20" s="6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3">
        <f>$L$3/12</f>
        <v>15000</v>
      </c>
      <c r="M21" s="3">
        <f t="shared" ref="M21:W21" si="26">$L$3/12</f>
        <v>15000</v>
      </c>
      <c r="N21" s="3">
        <f t="shared" si="26"/>
        <v>15000</v>
      </c>
      <c r="O21" s="7">
        <f t="shared" si="26"/>
        <v>15000</v>
      </c>
      <c r="P21" s="3">
        <f t="shared" si="26"/>
        <v>15000</v>
      </c>
      <c r="Q21" s="3">
        <f t="shared" si="26"/>
        <v>15000</v>
      </c>
      <c r="R21" s="3">
        <f t="shared" si="26"/>
        <v>15000</v>
      </c>
      <c r="S21" s="3">
        <f t="shared" si="26"/>
        <v>15000</v>
      </c>
      <c r="T21" s="3">
        <f t="shared" si="26"/>
        <v>15000</v>
      </c>
      <c r="U21" s="3">
        <f t="shared" si="26"/>
        <v>15000</v>
      </c>
      <c r="V21" s="3">
        <f t="shared" si="26"/>
        <v>15000</v>
      </c>
      <c r="W21" s="3">
        <f t="shared" si="26"/>
        <v>15000</v>
      </c>
      <c r="X21" s="2"/>
      <c r="Y21" s="2"/>
      <c r="Z21" s="2"/>
      <c r="AA21" s="6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3">
        <f>$M$3/12</f>
        <v>20000</v>
      </c>
      <c r="N22" s="3">
        <f t="shared" ref="N22:X22" si="27">$M$3/12</f>
        <v>20000</v>
      </c>
      <c r="O22" s="7">
        <f t="shared" si="27"/>
        <v>20000</v>
      </c>
      <c r="P22" s="3">
        <f t="shared" si="27"/>
        <v>20000</v>
      </c>
      <c r="Q22" s="3">
        <f t="shared" si="27"/>
        <v>20000</v>
      </c>
      <c r="R22" s="3">
        <f t="shared" si="27"/>
        <v>20000</v>
      </c>
      <c r="S22" s="3">
        <f t="shared" si="27"/>
        <v>20000</v>
      </c>
      <c r="T22" s="3">
        <f t="shared" si="27"/>
        <v>20000</v>
      </c>
      <c r="U22" s="3">
        <f t="shared" si="27"/>
        <v>20000</v>
      </c>
      <c r="V22" s="3">
        <f t="shared" si="27"/>
        <v>20000</v>
      </c>
      <c r="W22" s="3">
        <f t="shared" si="27"/>
        <v>20000</v>
      </c>
      <c r="X22" s="3">
        <f t="shared" si="27"/>
        <v>20000</v>
      </c>
      <c r="Y22" s="2"/>
      <c r="Z22" s="2"/>
      <c r="AA22" s="6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3">
        <f>$N$3/12</f>
        <v>20000</v>
      </c>
      <c r="O23" s="7">
        <f t="shared" ref="O23:Y23" si="28">$N$3/12</f>
        <v>20000</v>
      </c>
      <c r="P23" s="3">
        <f t="shared" si="28"/>
        <v>20000</v>
      </c>
      <c r="Q23" s="3">
        <f t="shared" si="28"/>
        <v>20000</v>
      </c>
      <c r="R23" s="3">
        <f t="shared" si="28"/>
        <v>20000</v>
      </c>
      <c r="S23" s="3">
        <f t="shared" si="28"/>
        <v>20000</v>
      </c>
      <c r="T23" s="3">
        <f t="shared" si="28"/>
        <v>20000</v>
      </c>
      <c r="U23" s="3">
        <f t="shared" si="28"/>
        <v>20000</v>
      </c>
      <c r="V23" s="3">
        <f t="shared" si="28"/>
        <v>20000</v>
      </c>
      <c r="W23" s="3">
        <f t="shared" si="28"/>
        <v>20000</v>
      </c>
      <c r="X23" s="3">
        <f t="shared" si="28"/>
        <v>20000</v>
      </c>
      <c r="Y23" s="3">
        <f t="shared" si="28"/>
        <v>20000</v>
      </c>
      <c r="Z23" s="2"/>
      <c r="AA23" s="6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7">
        <f>$O$3/12</f>
        <v>20000</v>
      </c>
      <c r="P24" s="3">
        <f t="shared" ref="P24:Z24" si="29">$O$3/12</f>
        <v>20000</v>
      </c>
      <c r="Q24" s="3">
        <f t="shared" si="29"/>
        <v>20000</v>
      </c>
      <c r="R24" s="3">
        <f t="shared" si="29"/>
        <v>20000</v>
      </c>
      <c r="S24" s="3">
        <f t="shared" si="29"/>
        <v>20000</v>
      </c>
      <c r="T24" s="3">
        <f t="shared" si="29"/>
        <v>20000</v>
      </c>
      <c r="U24" s="3">
        <f t="shared" si="29"/>
        <v>20000</v>
      </c>
      <c r="V24" s="3">
        <f t="shared" si="29"/>
        <v>20000</v>
      </c>
      <c r="W24" s="3">
        <f t="shared" si="29"/>
        <v>20000</v>
      </c>
      <c r="X24" s="3">
        <f t="shared" si="29"/>
        <v>20000</v>
      </c>
      <c r="Y24" s="3">
        <f t="shared" si="29"/>
        <v>20000</v>
      </c>
      <c r="Z24" s="3">
        <f t="shared" si="29"/>
        <v>20000</v>
      </c>
      <c r="AA24" s="6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6"/>
      <c r="P25" s="3">
        <f>$P$3/12</f>
        <v>20000</v>
      </c>
      <c r="Q25" s="3">
        <f t="shared" ref="Q25:AA25" si="30">$P$3/12</f>
        <v>20000</v>
      </c>
      <c r="R25" s="3">
        <f t="shared" si="30"/>
        <v>20000</v>
      </c>
      <c r="S25" s="3">
        <f t="shared" si="30"/>
        <v>20000</v>
      </c>
      <c r="T25" s="3">
        <f t="shared" si="30"/>
        <v>20000</v>
      </c>
      <c r="U25" s="3">
        <f t="shared" si="30"/>
        <v>20000</v>
      </c>
      <c r="V25" s="3">
        <f t="shared" si="30"/>
        <v>20000</v>
      </c>
      <c r="W25" s="3">
        <f t="shared" si="30"/>
        <v>20000</v>
      </c>
      <c r="X25" s="3">
        <f t="shared" si="30"/>
        <v>20000</v>
      </c>
      <c r="Y25" s="3">
        <f t="shared" si="30"/>
        <v>20000</v>
      </c>
      <c r="Z25" s="3">
        <f t="shared" si="30"/>
        <v>20000</v>
      </c>
      <c r="AA25" s="7">
        <f t="shared" si="30"/>
        <v>20000</v>
      </c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6"/>
      <c r="P26" s="2"/>
      <c r="Q26" s="3">
        <f>$Q$3/12</f>
        <v>25000</v>
      </c>
      <c r="R26" s="3">
        <f t="shared" ref="R26:AB26" si="31">$Q$3/12</f>
        <v>25000</v>
      </c>
      <c r="S26" s="3">
        <f t="shared" si="31"/>
        <v>25000</v>
      </c>
      <c r="T26" s="3">
        <f t="shared" si="31"/>
        <v>25000</v>
      </c>
      <c r="U26" s="3">
        <f t="shared" si="31"/>
        <v>25000</v>
      </c>
      <c r="V26" s="3">
        <f t="shared" si="31"/>
        <v>25000</v>
      </c>
      <c r="W26" s="3">
        <f t="shared" si="31"/>
        <v>25000</v>
      </c>
      <c r="X26" s="3">
        <f t="shared" si="31"/>
        <v>25000</v>
      </c>
      <c r="Y26" s="3">
        <f t="shared" si="31"/>
        <v>25000</v>
      </c>
      <c r="Z26" s="3">
        <f t="shared" si="31"/>
        <v>25000</v>
      </c>
      <c r="AA26" s="7">
        <f t="shared" si="31"/>
        <v>25000</v>
      </c>
      <c r="AB26" s="3">
        <f t="shared" si="31"/>
        <v>25000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6"/>
      <c r="P27" s="2"/>
      <c r="Q27" s="2"/>
      <c r="R27" s="3">
        <f>$R$3/12</f>
        <v>25000</v>
      </c>
      <c r="S27" s="3">
        <f t="shared" ref="S27:AC27" si="32">$R$3/12</f>
        <v>25000</v>
      </c>
      <c r="T27" s="3">
        <f t="shared" si="32"/>
        <v>25000</v>
      </c>
      <c r="U27" s="3">
        <f t="shared" si="32"/>
        <v>25000</v>
      </c>
      <c r="V27" s="3">
        <f t="shared" si="32"/>
        <v>25000</v>
      </c>
      <c r="W27" s="3">
        <f t="shared" si="32"/>
        <v>25000</v>
      </c>
      <c r="X27" s="3">
        <f t="shared" si="32"/>
        <v>25000</v>
      </c>
      <c r="Y27" s="3">
        <f t="shared" si="32"/>
        <v>25000</v>
      </c>
      <c r="Z27" s="3">
        <f t="shared" si="32"/>
        <v>25000</v>
      </c>
      <c r="AA27" s="7">
        <f t="shared" si="32"/>
        <v>25000</v>
      </c>
      <c r="AB27" s="3">
        <f t="shared" si="32"/>
        <v>25000</v>
      </c>
      <c r="AC27" s="3">
        <f t="shared" si="32"/>
        <v>25000</v>
      </c>
      <c r="AD27" s="2"/>
      <c r="AE27" s="2"/>
      <c r="AF27" s="2"/>
      <c r="AG27" s="2"/>
      <c r="AH27" s="2"/>
      <c r="AI27" s="2"/>
      <c r="AJ27" s="2"/>
      <c r="AK27" s="2"/>
      <c r="AL27" s="2"/>
    </row>
    <row r="28" spans="1:38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6"/>
      <c r="P28" s="2"/>
      <c r="Q28" s="2"/>
      <c r="R28" s="2"/>
      <c r="S28" s="3">
        <f>$S$3/12</f>
        <v>25000</v>
      </c>
      <c r="T28" s="3">
        <f t="shared" ref="T28:AD28" si="33">$S$3/12</f>
        <v>25000</v>
      </c>
      <c r="U28" s="3">
        <f t="shared" si="33"/>
        <v>25000</v>
      </c>
      <c r="V28" s="3">
        <f t="shared" si="33"/>
        <v>25000</v>
      </c>
      <c r="W28" s="3">
        <f t="shared" si="33"/>
        <v>25000</v>
      </c>
      <c r="X28" s="3">
        <f t="shared" si="33"/>
        <v>25000</v>
      </c>
      <c r="Y28" s="3">
        <f t="shared" si="33"/>
        <v>25000</v>
      </c>
      <c r="Z28" s="3">
        <f t="shared" si="33"/>
        <v>25000</v>
      </c>
      <c r="AA28" s="7">
        <f t="shared" si="33"/>
        <v>25000</v>
      </c>
      <c r="AB28" s="3">
        <f t="shared" si="33"/>
        <v>25000</v>
      </c>
      <c r="AC28" s="3">
        <f t="shared" si="33"/>
        <v>25000</v>
      </c>
      <c r="AD28" s="3">
        <f t="shared" si="33"/>
        <v>25000</v>
      </c>
      <c r="AE28" s="2"/>
      <c r="AF28" s="2"/>
      <c r="AG28" s="2"/>
      <c r="AH28" s="2"/>
      <c r="AI28" s="2"/>
      <c r="AJ28" s="2"/>
      <c r="AK28" s="2"/>
      <c r="AL28" s="2"/>
    </row>
    <row r="29" spans="1:38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6"/>
      <c r="P29" s="2"/>
      <c r="Q29" s="2"/>
      <c r="R29" s="2"/>
      <c r="S29" s="2"/>
      <c r="T29" s="3">
        <f>$T$3/12</f>
        <v>25000</v>
      </c>
      <c r="U29" s="3">
        <f t="shared" ref="U29:AE29" si="34">$T$3/12</f>
        <v>25000</v>
      </c>
      <c r="V29" s="3">
        <f t="shared" si="34"/>
        <v>25000</v>
      </c>
      <c r="W29" s="3">
        <f t="shared" si="34"/>
        <v>25000</v>
      </c>
      <c r="X29" s="3">
        <f t="shared" si="34"/>
        <v>25000</v>
      </c>
      <c r="Y29" s="3">
        <f t="shared" si="34"/>
        <v>25000</v>
      </c>
      <c r="Z29" s="3">
        <f t="shared" si="34"/>
        <v>25000</v>
      </c>
      <c r="AA29" s="7">
        <f t="shared" si="34"/>
        <v>25000</v>
      </c>
      <c r="AB29" s="3">
        <f t="shared" si="34"/>
        <v>25000</v>
      </c>
      <c r="AC29" s="3">
        <f t="shared" si="34"/>
        <v>25000</v>
      </c>
      <c r="AD29" s="3">
        <f t="shared" si="34"/>
        <v>25000</v>
      </c>
      <c r="AE29" s="3">
        <f t="shared" si="34"/>
        <v>25000</v>
      </c>
      <c r="AF29" s="2"/>
      <c r="AG29" s="2"/>
      <c r="AH29" s="2"/>
      <c r="AI29" s="2"/>
      <c r="AJ29" s="2"/>
      <c r="AK29" s="2"/>
      <c r="AL29" s="2"/>
    </row>
    <row r="30" spans="1:38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6"/>
      <c r="P30" s="2"/>
      <c r="Q30" s="2"/>
      <c r="R30" s="2"/>
      <c r="S30" s="2"/>
      <c r="T30" s="2"/>
      <c r="U30" s="3">
        <f>$U$3/12</f>
        <v>25000</v>
      </c>
      <c r="V30" s="3">
        <f t="shared" ref="V30:AF30" si="35">$U$3/12</f>
        <v>25000</v>
      </c>
      <c r="W30" s="3">
        <f t="shared" si="35"/>
        <v>25000</v>
      </c>
      <c r="X30" s="3">
        <f t="shared" si="35"/>
        <v>25000</v>
      </c>
      <c r="Y30" s="3">
        <f t="shared" si="35"/>
        <v>25000</v>
      </c>
      <c r="Z30" s="3">
        <f t="shared" si="35"/>
        <v>25000</v>
      </c>
      <c r="AA30" s="7">
        <f t="shared" si="35"/>
        <v>25000</v>
      </c>
      <c r="AB30" s="3">
        <f t="shared" si="35"/>
        <v>25000</v>
      </c>
      <c r="AC30" s="3">
        <f t="shared" si="35"/>
        <v>25000</v>
      </c>
      <c r="AD30" s="3">
        <f t="shared" si="35"/>
        <v>25000</v>
      </c>
      <c r="AE30" s="3">
        <f t="shared" si="35"/>
        <v>25000</v>
      </c>
      <c r="AF30" s="3">
        <f t="shared" si="35"/>
        <v>25000</v>
      </c>
      <c r="AG30" s="2"/>
      <c r="AH30" s="2"/>
      <c r="AI30" s="2"/>
      <c r="AJ30" s="2"/>
      <c r="AK30" s="2"/>
      <c r="AL30" s="2"/>
    </row>
    <row r="31" spans="1:38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6"/>
      <c r="P31" s="2"/>
      <c r="Q31" s="2"/>
      <c r="R31" s="2"/>
      <c r="S31" s="2"/>
      <c r="T31" s="2"/>
      <c r="U31" s="2"/>
      <c r="V31" s="3">
        <f>$V$3/12</f>
        <v>25000</v>
      </c>
      <c r="W31" s="3">
        <f t="shared" ref="W31:AG31" si="36">$V$3/12</f>
        <v>25000</v>
      </c>
      <c r="X31" s="3">
        <f t="shared" si="36"/>
        <v>25000</v>
      </c>
      <c r="Y31" s="3">
        <f t="shared" si="36"/>
        <v>25000</v>
      </c>
      <c r="Z31" s="3">
        <f t="shared" si="36"/>
        <v>25000</v>
      </c>
      <c r="AA31" s="7">
        <f t="shared" si="36"/>
        <v>25000</v>
      </c>
      <c r="AB31" s="3">
        <f t="shared" si="36"/>
        <v>25000</v>
      </c>
      <c r="AC31" s="3">
        <f t="shared" si="36"/>
        <v>25000</v>
      </c>
      <c r="AD31" s="3">
        <f t="shared" si="36"/>
        <v>25000</v>
      </c>
      <c r="AE31" s="3">
        <f t="shared" si="36"/>
        <v>25000</v>
      </c>
      <c r="AF31" s="3">
        <f t="shared" si="36"/>
        <v>25000</v>
      </c>
      <c r="AG31" s="3">
        <f t="shared" si="36"/>
        <v>25000</v>
      </c>
      <c r="AH31" s="2"/>
      <c r="AI31" s="2"/>
      <c r="AJ31" s="2"/>
      <c r="AK31" s="2"/>
      <c r="AL31" s="2"/>
    </row>
    <row r="32" spans="1:38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6"/>
      <c r="P32" s="2"/>
      <c r="Q32" s="2"/>
      <c r="R32" s="2"/>
      <c r="S32" s="2"/>
      <c r="T32" s="2"/>
      <c r="U32" s="2"/>
      <c r="V32" s="2"/>
      <c r="W32" s="3">
        <f>$W$3/12</f>
        <v>25000</v>
      </c>
      <c r="X32" s="3">
        <f t="shared" ref="X32:AH32" si="37">$W$3/12</f>
        <v>25000</v>
      </c>
      <c r="Y32" s="3">
        <f t="shared" si="37"/>
        <v>25000</v>
      </c>
      <c r="Z32" s="3">
        <f t="shared" si="37"/>
        <v>25000</v>
      </c>
      <c r="AA32" s="7">
        <f t="shared" si="37"/>
        <v>25000</v>
      </c>
      <c r="AB32" s="3">
        <f t="shared" si="37"/>
        <v>25000</v>
      </c>
      <c r="AC32" s="3">
        <f t="shared" si="37"/>
        <v>25000</v>
      </c>
      <c r="AD32" s="3">
        <f t="shared" si="37"/>
        <v>25000</v>
      </c>
      <c r="AE32" s="3">
        <f t="shared" si="37"/>
        <v>25000</v>
      </c>
      <c r="AF32" s="3">
        <f t="shared" si="37"/>
        <v>25000</v>
      </c>
      <c r="AG32" s="3">
        <f t="shared" si="37"/>
        <v>25000</v>
      </c>
      <c r="AH32" s="3">
        <f t="shared" si="37"/>
        <v>25000</v>
      </c>
      <c r="AI32" s="2"/>
      <c r="AJ32" s="2"/>
      <c r="AK32" s="2"/>
      <c r="AL32" s="2"/>
    </row>
    <row r="33" spans="1:38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6"/>
      <c r="P33" s="2"/>
      <c r="Q33" s="2"/>
      <c r="R33" s="2"/>
      <c r="S33" s="2"/>
      <c r="T33" s="2"/>
      <c r="U33" s="2"/>
      <c r="V33" s="2"/>
      <c r="W33" s="2"/>
      <c r="X33" s="3">
        <f>$X$3/12</f>
        <v>25000</v>
      </c>
      <c r="Y33" s="3">
        <f t="shared" ref="Y33:AI33" si="38">$X$3/12</f>
        <v>25000</v>
      </c>
      <c r="Z33" s="3">
        <f t="shared" si="38"/>
        <v>25000</v>
      </c>
      <c r="AA33" s="7">
        <f t="shared" si="38"/>
        <v>25000</v>
      </c>
      <c r="AB33" s="3">
        <f t="shared" si="38"/>
        <v>25000</v>
      </c>
      <c r="AC33" s="3">
        <f t="shared" si="38"/>
        <v>25000</v>
      </c>
      <c r="AD33" s="3">
        <f t="shared" si="38"/>
        <v>25000</v>
      </c>
      <c r="AE33" s="3">
        <f t="shared" si="38"/>
        <v>25000</v>
      </c>
      <c r="AF33" s="3">
        <f t="shared" si="38"/>
        <v>25000</v>
      </c>
      <c r="AG33" s="3">
        <f t="shared" si="38"/>
        <v>25000</v>
      </c>
      <c r="AH33" s="3">
        <f t="shared" si="38"/>
        <v>25000</v>
      </c>
      <c r="AI33" s="3">
        <f t="shared" si="38"/>
        <v>25000</v>
      </c>
      <c r="AJ33" s="2"/>
      <c r="AK33" s="2"/>
      <c r="AL33" s="2"/>
    </row>
    <row r="34" spans="1:38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6"/>
      <c r="P34" s="2"/>
      <c r="Q34" s="2"/>
      <c r="R34" s="2"/>
      <c r="S34" s="2"/>
      <c r="T34" s="2"/>
      <c r="U34" s="2"/>
      <c r="V34" s="2"/>
      <c r="W34" s="2"/>
      <c r="X34" s="2"/>
      <c r="Y34" s="3">
        <f>$Y$3/12</f>
        <v>25000</v>
      </c>
      <c r="Z34" s="3">
        <f t="shared" ref="Z34:AJ34" si="39">$Y$3/12</f>
        <v>25000</v>
      </c>
      <c r="AA34" s="7">
        <f t="shared" si="39"/>
        <v>25000</v>
      </c>
      <c r="AB34" s="3">
        <f t="shared" si="39"/>
        <v>25000</v>
      </c>
      <c r="AC34" s="3">
        <f t="shared" si="39"/>
        <v>25000</v>
      </c>
      <c r="AD34" s="3">
        <f t="shared" si="39"/>
        <v>25000</v>
      </c>
      <c r="AE34" s="3">
        <f t="shared" si="39"/>
        <v>25000</v>
      </c>
      <c r="AF34" s="3">
        <f t="shared" si="39"/>
        <v>25000</v>
      </c>
      <c r="AG34" s="3">
        <f t="shared" si="39"/>
        <v>25000</v>
      </c>
      <c r="AH34" s="3">
        <f t="shared" si="39"/>
        <v>25000</v>
      </c>
      <c r="AI34" s="3">
        <f t="shared" si="39"/>
        <v>25000</v>
      </c>
      <c r="AJ34" s="3">
        <f t="shared" si="39"/>
        <v>25000</v>
      </c>
      <c r="AK34" s="2"/>
      <c r="AL34" s="2"/>
    </row>
    <row r="35" spans="1:38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6"/>
      <c r="P35" s="2"/>
      <c r="Q35" s="2"/>
      <c r="R35" s="2"/>
      <c r="S35" s="2"/>
      <c r="T35" s="2"/>
      <c r="U35" s="2"/>
      <c r="V35" s="2"/>
      <c r="W35" s="2"/>
      <c r="X35" s="2"/>
      <c r="Y35" s="2"/>
      <c r="Z35" s="3">
        <f>$Z$3/12</f>
        <v>25000</v>
      </c>
      <c r="AA35" s="7">
        <f t="shared" ref="AA35:AK35" si="40">$Z$3/12</f>
        <v>25000</v>
      </c>
      <c r="AB35" s="3">
        <f t="shared" si="40"/>
        <v>25000</v>
      </c>
      <c r="AC35" s="3">
        <f t="shared" si="40"/>
        <v>25000</v>
      </c>
      <c r="AD35" s="3">
        <f t="shared" si="40"/>
        <v>25000</v>
      </c>
      <c r="AE35" s="3">
        <f t="shared" si="40"/>
        <v>25000</v>
      </c>
      <c r="AF35" s="3">
        <f t="shared" si="40"/>
        <v>25000</v>
      </c>
      <c r="AG35" s="3">
        <f t="shared" si="40"/>
        <v>25000</v>
      </c>
      <c r="AH35" s="3">
        <f t="shared" si="40"/>
        <v>25000</v>
      </c>
      <c r="AI35" s="3">
        <f t="shared" si="40"/>
        <v>25000</v>
      </c>
      <c r="AJ35" s="3">
        <f t="shared" si="40"/>
        <v>25000</v>
      </c>
      <c r="AK35" s="3">
        <f t="shared" si="40"/>
        <v>25000</v>
      </c>
      <c r="AL35" s="2"/>
    </row>
    <row r="36" spans="1:38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6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7">
        <f>$AA$3/12</f>
        <v>30000</v>
      </c>
      <c r="AB36" s="3">
        <f t="shared" ref="AB36:AL36" si="41">$AA$3/12</f>
        <v>30000</v>
      </c>
      <c r="AC36" s="3">
        <f t="shared" si="41"/>
        <v>30000</v>
      </c>
      <c r="AD36" s="3">
        <f t="shared" si="41"/>
        <v>30000</v>
      </c>
      <c r="AE36" s="3">
        <f t="shared" si="41"/>
        <v>30000</v>
      </c>
      <c r="AF36" s="3">
        <f t="shared" si="41"/>
        <v>30000</v>
      </c>
      <c r="AG36" s="3">
        <f t="shared" si="41"/>
        <v>30000</v>
      </c>
      <c r="AH36" s="3">
        <f t="shared" si="41"/>
        <v>30000</v>
      </c>
      <c r="AI36" s="3">
        <f t="shared" si="41"/>
        <v>30000</v>
      </c>
      <c r="AJ36" s="3">
        <f t="shared" si="41"/>
        <v>30000</v>
      </c>
      <c r="AK36" s="3">
        <f t="shared" si="41"/>
        <v>30000</v>
      </c>
      <c r="AL36" s="3">
        <f t="shared" si="41"/>
        <v>30000</v>
      </c>
    </row>
    <row r="37" spans="1:38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6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6"/>
      <c r="AB37" s="3">
        <f>$AB$3/12</f>
        <v>30000</v>
      </c>
      <c r="AC37" s="3">
        <f t="shared" ref="AC37:AL37" si="42">$AB$3/12</f>
        <v>30000</v>
      </c>
      <c r="AD37" s="3">
        <f t="shared" si="42"/>
        <v>30000</v>
      </c>
      <c r="AE37" s="3">
        <f t="shared" si="42"/>
        <v>30000</v>
      </c>
      <c r="AF37" s="3">
        <f t="shared" si="42"/>
        <v>30000</v>
      </c>
      <c r="AG37" s="3">
        <f t="shared" si="42"/>
        <v>30000</v>
      </c>
      <c r="AH37" s="3">
        <f t="shared" si="42"/>
        <v>30000</v>
      </c>
      <c r="AI37" s="3">
        <f t="shared" si="42"/>
        <v>30000</v>
      </c>
      <c r="AJ37" s="3">
        <f t="shared" si="42"/>
        <v>30000</v>
      </c>
      <c r="AK37" s="3">
        <f t="shared" si="42"/>
        <v>30000</v>
      </c>
      <c r="AL37" s="3">
        <f t="shared" si="42"/>
        <v>30000</v>
      </c>
    </row>
    <row r="38" spans="1:38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6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6"/>
      <c r="AB38" s="2"/>
      <c r="AC38" s="3">
        <f>$AC$3/12</f>
        <v>30000</v>
      </c>
      <c r="AD38" s="3">
        <f t="shared" ref="AD38:AL38" si="43">$AC$3/12</f>
        <v>30000</v>
      </c>
      <c r="AE38" s="3">
        <f t="shared" si="43"/>
        <v>30000</v>
      </c>
      <c r="AF38" s="3">
        <f t="shared" si="43"/>
        <v>30000</v>
      </c>
      <c r="AG38" s="3">
        <f t="shared" si="43"/>
        <v>30000</v>
      </c>
      <c r="AH38" s="3">
        <f t="shared" si="43"/>
        <v>30000</v>
      </c>
      <c r="AI38" s="3">
        <f t="shared" si="43"/>
        <v>30000</v>
      </c>
      <c r="AJ38" s="3">
        <f t="shared" si="43"/>
        <v>30000</v>
      </c>
      <c r="AK38" s="3">
        <f t="shared" si="43"/>
        <v>30000</v>
      </c>
      <c r="AL38" s="3">
        <f t="shared" si="43"/>
        <v>30000</v>
      </c>
    </row>
    <row r="39" spans="1:38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6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6"/>
      <c r="AB39" s="2"/>
      <c r="AC39" s="2"/>
      <c r="AD39" s="3">
        <f>$AD$3/12</f>
        <v>30000</v>
      </c>
      <c r="AE39" s="3">
        <f t="shared" ref="AE39:AL39" si="44">$AD$3/12</f>
        <v>30000</v>
      </c>
      <c r="AF39" s="3">
        <f t="shared" si="44"/>
        <v>30000</v>
      </c>
      <c r="AG39" s="3">
        <f t="shared" si="44"/>
        <v>30000</v>
      </c>
      <c r="AH39" s="3">
        <f t="shared" si="44"/>
        <v>30000</v>
      </c>
      <c r="AI39" s="3">
        <f t="shared" si="44"/>
        <v>30000</v>
      </c>
      <c r="AJ39" s="3">
        <f t="shared" si="44"/>
        <v>30000</v>
      </c>
      <c r="AK39" s="3">
        <f t="shared" si="44"/>
        <v>30000</v>
      </c>
      <c r="AL39" s="3">
        <f t="shared" si="44"/>
        <v>30000</v>
      </c>
    </row>
    <row r="40" spans="1:38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6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6"/>
      <c r="AB40" s="2"/>
      <c r="AC40" s="2"/>
      <c r="AD40" s="2"/>
      <c r="AE40" s="3">
        <f>$AE$3/12</f>
        <v>37500</v>
      </c>
      <c r="AF40" s="3">
        <f t="shared" ref="AF40:AL40" si="45">$AE$3/12</f>
        <v>37500</v>
      </c>
      <c r="AG40" s="3">
        <f t="shared" si="45"/>
        <v>37500</v>
      </c>
      <c r="AH40" s="3">
        <f t="shared" si="45"/>
        <v>37500</v>
      </c>
      <c r="AI40" s="3">
        <f t="shared" si="45"/>
        <v>37500</v>
      </c>
      <c r="AJ40" s="3">
        <f t="shared" si="45"/>
        <v>37500</v>
      </c>
      <c r="AK40" s="3">
        <f t="shared" si="45"/>
        <v>37500</v>
      </c>
      <c r="AL40" s="3">
        <f t="shared" si="45"/>
        <v>37500</v>
      </c>
    </row>
    <row r="41" spans="1:38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6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6"/>
      <c r="AB41" s="2"/>
      <c r="AC41" s="2"/>
      <c r="AD41" s="2"/>
      <c r="AE41" s="2"/>
      <c r="AF41" s="3">
        <f>$AF$3/12</f>
        <v>37500</v>
      </c>
      <c r="AG41" s="3">
        <f t="shared" ref="AG41:AL41" si="46">$AF$3/12</f>
        <v>37500</v>
      </c>
      <c r="AH41" s="3">
        <f t="shared" si="46"/>
        <v>37500</v>
      </c>
      <c r="AI41" s="3">
        <f t="shared" si="46"/>
        <v>37500</v>
      </c>
      <c r="AJ41" s="3">
        <f t="shared" si="46"/>
        <v>37500</v>
      </c>
      <c r="AK41" s="3">
        <f t="shared" si="46"/>
        <v>37500</v>
      </c>
      <c r="AL41" s="3">
        <f t="shared" si="46"/>
        <v>37500</v>
      </c>
    </row>
    <row r="42" spans="1:38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6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6"/>
      <c r="AB42" s="2"/>
      <c r="AC42" s="2"/>
      <c r="AD42" s="2"/>
      <c r="AE42" s="2"/>
      <c r="AF42" s="2"/>
      <c r="AG42" s="3">
        <f>$AG$3/12</f>
        <v>37500</v>
      </c>
      <c r="AH42" s="3">
        <f t="shared" ref="AH42:AL43" si="47">$AG$3/12</f>
        <v>37500</v>
      </c>
      <c r="AI42" s="3">
        <f t="shared" si="47"/>
        <v>37500</v>
      </c>
      <c r="AJ42" s="3">
        <f t="shared" si="47"/>
        <v>37500</v>
      </c>
      <c r="AK42" s="3">
        <f t="shared" si="47"/>
        <v>37500</v>
      </c>
      <c r="AL42" s="3">
        <f t="shared" si="47"/>
        <v>37500</v>
      </c>
    </row>
    <row r="43" spans="1:38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6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6"/>
      <c r="AB43" s="2"/>
      <c r="AC43" s="2"/>
      <c r="AD43" s="2"/>
      <c r="AE43" s="2"/>
      <c r="AF43" s="2"/>
      <c r="AG43" s="2"/>
      <c r="AH43" s="3">
        <f>$AH$3/12</f>
        <v>37500</v>
      </c>
      <c r="AI43" s="3">
        <f t="shared" si="47"/>
        <v>37500</v>
      </c>
      <c r="AJ43" s="3">
        <f t="shared" si="47"/>
        <v>37500</v>
      </c>
      <c r="AK43" s="3">
        <f t="shared" si="47"/>
        <v>37500</v>
      </c>
      <c r="AL43" s="3">
        <f t="shared" si="47"/>
        <v>37500</v>
      </c>
    </row>
    <row r="44" spans="1:38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6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6"/>
      <c r="AB44" s="2"/>
      <c r="AC44" s="2"/>
      <c r="AD44" s="2"/>
      <c r="AE44" s="2"/>
      <c r="AF44" s="2"/>
      <c r="AG44" s="2"/>
      <c r="AH44" s="2"/>
      <c r="AI44" s="3">
        <f>$AI$3/12</f>
        <v>50000</v>
      </c>
      <c r="AJ44" s="3">
        <f t="shared" ref="AJ44:AL44" si="48">$AI$3/12</f>
        <v>50000</v>
      </c>
      <c r="AK44" s="3">
        <f t="shared" si="48"/>
        <v>50000</v>
      </c>
      <c r="AL44" s="3">
        <f t="shared" si="48"/>
        <v>50000</v>
      </c>
    </row>
    <row r="45" spans="1:38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6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6"/>
      <c r="AB45" s="2"/>
      <c r="AC45" s="2"/>
      <c r="AD45" s="2"/>
      <c r="AE45" s="2"/>
      <c r="AF45" s="2"/>
      <c r="AG45" s="2"/>
      <c r="AH45" s="2"/>
      <c r="AI45" s="2"/>
      <c r="AJ45" s="3">
        <f>$AJ$3/12</f>
        <v>50000</v>
      </c>
      <c r="AK45" s="3">
        <f t="shared" ref="AK45:AL45" si="49">$AJ$3/12</f>
        <v>50000</v>
      </c>
      <c r="AL45" s="3">
        <f t="shared" si="49"/>
        <v>50000</v>
      </c>
    </row>
    <row r="46" spans="1:38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6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6"/>
      <c r="AB46" s="2"/>
      <c r="AC46" s="2"/>
      <c r="AD46" s="2"/>
      <c r="AE46" s="2"/>
      <c r="AF46" s="2"/>
      <c r="AG46" s="2"/>
      <c r="AH46" s="2"/>
      <c r="AI46" s="2"/>
      <c r="AJ46" s="2"/>
      <c r="AK46" s="3">
        <f>$AK$3/12</f>
        <v>50000</v>
      </c>
      <c r="AL46" s="3">
        <f>$AK$3/12</f>
        <v>50000</v>
      </c>
    </row>
    <row r="47" spans="1:38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6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6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3">
        <f>$AL$3/12</f>
        <v>50000</v>
      </c>
    </row>
    <row r="48" spans="1:38" ht="15.75" thickBot="1" x14ac:dyDescent="0.3"/>
    <row r="49" spans="1:38" ht="15.75" thickBot="1" x14ac:dyDescent="0.3">
      <c r="A49" s="27" t="s">
        <v>3</v>
      </c>
      <c r="B49" s="20"/>
      <c r="C49" s="59">
        <v>0.8</v>
      </c>
      <c r="D49" s="59">
        <v>0.9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8">
        <f t="shared" ref="O49:O73" si="50">$C$49*C12</f>
        <v>0</v>
      </c>
      <c r="P49" s="5">
        <f t="shared" ref="P49:P73" si="51">$C$49*D12</f>
        <v>0</v>
      </c>
      <c r="Q49" s="5">
        <f t="shared" ref="Q49:Q73" si="52">$C$49*E12</f>
        <v>0</v>
      </c>
      <c r="R49" s="5">
        <f t="shared" ref="R49:R73" si="53">$C$49*F12</f>
        <v>0</v>
      </c>
      <c r="S49" s="5">
        <f t="shared" ref="S49:S73" si="54">$C$49*G12</f>
        <v>0</v>
      </c>
      <c r="T49" s="5">
        <f t="shared" ref="T49:T73" si="55">$C$49*H12</f>
        <v>0</v>
      </c>
      <c r="U49" s="5">
        <f t="shared" ref="U49:U73" si="56">$C$49*I12</f>
        <v>0</v>
      </c>
      <c r="V49" s="5">
        <f t="shared" ref="V49:V73" si="57">$C$49*J12</f>
        <v>0</v>
      </c>
      <c r="W49" s="5">
        <f t="shared" ref="W49:W73" si="58">$C$49*K12</f>
        <v>0</v>
      </c>
      <c r="X49" s="5">
        <f t="shared" ref="X49:X73" si="59">$C$49*L12</f>
        <v>0</v>
      </c>
      <c r="Y49" s="5">
        <f t="shared" ref="Y49:Y73" si="60">$C$49*M12</f>
        <v>0</v>
      </c>
      <c r="Z49" s="5">
        <f t="shared" ref="Z49:Z73" si="61">$C$49*N12</f>
        <v>0</v>
      </c>
      <c r="AA49" s="8">
        <f t="shared" ref="AA49:AL49" si="62">$D$49*O49</f>
        <v>0</v>
      </c>
      <c r="AB49" s="5">
        <f t="shared" si="62"/>
        <v>0</v>
      </c>
      <c r="AC49" s="5">
        <f t="shared" si="62"/>
        <v>0</v>
      </c>
      <c r="AD49" s="5">
        <f t="shared" si="62"/>
        <v>0</v>
      </c>
      <c r="AE49" s="5">
        <f t="shared" si="62"/>
        <v>0</v>
      </c>
      <c r="AF49" s="5">
        <f t="shared" si="62"/>
        <v>0</v>
      </c>
      <c r="AG49" s="5">
        <f t="shared" si="62"/>
        <v>0</v>
      </c>
      <c r="AH49" s="5">
        <f t="shared" si="62"/>
        <v>0</v>
      </c>
      <c r="AI49" s="5">
        <f t="shared" si="62"/>
        <v>0</v>
      </c>
      <c r="AJ49" s="5">
        <f t="shared" si="62"/>
        <v>0</v>
      </c>
      <c r="AK49" s="5">
        <f t="shared" si="62"/>
        <v>0</v>
      </c>
      <c r="AL49" s="5">
        <f t="shared" si="62"/>
        <v>0</v>
      </c>
    </row>
    <row r="50" spans="1:38" x14ac:dyDescent="0.25">
      <c r="A50" s="20"/>
      <c r="B50" s="20"/>
      <c r="C50" s="16" t="s">
        <v>58</v>
      </c>
      <c r="D50" s="16" t="s">
        <v>59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8">
        <f t="shared" si="50"/>
        <v>0</v>
      </c>
      <c r="P50" s="5">
        <f t="shared" si="51"/>
        <v>2000</v>
      </c>
      <c r="Q50" s="5">
        <f t="shared" si="52"/>
        <v>2000</v>
      </c>
      <c r="R50" s="5">
        <f t="shared" si="53"/>
        <v>2000</v>
      </c>
      <c r="S50" s="5">
        <f t="shared" si="54"/>
        <v>2000</v>
      </c>
      <c r="T50" s="5">
        <f t="shared" si="55"/>
        <v>2000</v>
      </c>
      <c r="U50" s="5">
        <f t="shared" si="56"/>
        <v>2000</v>
      </c>
      <c r="V50" s="5">
        <f t="shared" si="57"/>
        <v>2000</v>
      </c>
      <c r="W50" s="5">
        <f t="shared" si="58"/>
        <v>2000</v>
      </c>
      <c r="X50" s="5">
        <f t="shared" si="59"/>
        <v>2000</v>
      </c>
      <c r="Y50" s="5">
        <f t="shared" si="60"/>
        <v>2000</v>
      </c>
      <c r="Z50" s="5">
        <f t="shared" si="61"/>
        <v>2000</v>
      </c>
      <c r="AA50" s="8">
        <f t="shared" ref="AA50:AA60" si="63">$C$49*O13</f>
        <v>2000</v>
      </c>
      <c r="AB50" s="5">
        <f t="shared" ref="AB50:AL50" si="64">$D$49*P50</f>
        <v>1800</v>
      </c>
      <c r="AC50" s="5">
        <f t="shared" si="64"/>
        <v>1800</v>
      </c>
      <c r="AD50" s="5">
        <f t="shared" si="64"/>
        <v>1800</v>
      </c>
      <c r="AE50" s="5">
        <f t="shared" si="64"/>
        <v>1800</v>
      </c>
      <c r="AF50" s="5">
        <f t="shared" si="64"/>
        <v>1800</v>
      </c>
      <c r="AG50" s="5">
        <f t="shared" si="64"/>
        <v>1800</v>
      </c>
      <c r="AH50" s="5">
        <f t="shared" si="64"/>
        <v>1800</v>
      </c>
      <c r="AI50" s="5">
        <f t="shared" si="64"/>
        <v>1800</v>
      </c>
      <c r="AJ50" s="5">
        <f t="shared" si="64"/>
        <v>1800</v>
      </c>
      <c r="AK50" s="5">
        <f t="shared" si="64"/>
        <v>1800</v>
      </c>
      <c r="AL50" s="5">
        <f t="shared" si="64"/>
        <v>1800</v>
      </c>
    </row>
    <row r="51" spans="1:38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8">
        <v>0</v>
      </c>
      <c r="P51" s="5">
        <f t="shared" si="51"/>
        <v>0</v>
      </c>
      <c r="Q51" s="5">
        <f t="shared" si="52"/>
        <v>4000</v>
      </c>
      <c r="R51" s="5">
        <f t="shared" si="53"/>
        <v>4000</v>
      </c>
      <c r="S51" s="5">
        <f t="shared" si="54"/>
        <v>4000</v>
      </c>
      <c r="T51" s="5">
        <f t="shared" si="55"/>
        <v>4000</v>
      </c>
      <c r="U51" s="5">
        <f t="shared" si="56"/>
        <v>4000</v>
      </c>
      <c r="V51" s="5">
        <f t="shared" si="57"/>
        <v>4000</v>
      </c>
      <c r="W51" s="5">
        <f t="shared" si="58"/>
        <v>4000</v>
      </c>
      <c r="X51" s="5">
        <f t="shared" si="59"/>
        <v>4000</v>
      </c>
      <c r="Y51" s="5">
        <f t="shared" si="60"/>
        <v>4000</v>
      </c>
      <c r="Z51" s="5">
        <f t="shared" si="61"/>
        <v>4000</v>
      </c>
      <c r="AA51" s="8">
        <f t="shared" si="63"/>
        <v>4000</v>
      </c>
      <c r="AB51" s="5">
        <f t="shared" ref="AB51:AB60" si="65">$C$49*P14</f>
        <v>4000</v>
      </c>
      <c r="AC51" s="5">
        <f t="shared" ref="AC51:AL51" si="66">$D$49*Q51</f>
        <v>3600</v>
      </c>
      <c r="AD51" s="5">
        <f t="shared" si="66"/>
        <v>3600</v>
      </c>
      <c r="AE51" s="5">
        <f t="shared" si="66"/>
        <v>3600</v>
      </c>
      <c r="AF51" s="5">
        <f t="shared" si="66"/>
        <v>3600</v>
      </c>
      <c r="AG51" s="5">
        <f t="shared" si="66"/>
        <v>3600</v>
      </c>
      <c r="AH51" s="5">
        <f t="shared" si="66"/>
        <v>3600</v>
      </c>
      <c r="AI51" s="5">
        <f t="shared" si="66"/>
        <v>3600</v>
      </c>
      <c r="AJ51" s="5">
        <f t="shared" si="66"/>
        <v>3600</v>
      </c>
      <c r="AK51" s="5">
        <f t="shared" si="66"/>
        <v>3600</v>
      </c>
      <c r="AL51" s="5">
        <f t="shared" si="66"/>
        <v>3600</v>
      </c>
    </row>
    <row r="52" spans="1:38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8">
        <f t="shared" si="50"/>
        <v>0</v>
      </c>
      <c r="P52" s="5">
        <f t="shared" si="51"/>
        <v>0</v>
      </c>
      <c r="Q52" s="5">
        <f t="shared" si="52"/>
        <v>0</v>
      </c>
      <c r="R52" s="5">
        <f t="shared" si="53"/>
        <v>4000</v>
      </c>
      <c r="S52" s="5">
        <f t="shared" si="54"/>
        <v>4000</v>
      </c>
      <c r="T52" s="5">
        <f t="shared" si="55"/>
        <v>4000</v>
      </c>
      <c r="U52" s="5">
        <f t="shared" si="56"/>
        <v>4000</v>
      </c>
      <c r="V52" s="5">
        <f t="shared" si="57"/>
        <v>4000</v>
      </c>
      <c r="W52" s="5">
        <f t="shared" si="58"/>
        <v>4000</v>
      </c>
      <c r="X52" s="5">
        <f t="shared" si="59"/>
        <v>4000</v>
      </c>
      <c r="Y52" s="5">
        <f t="shared" si="60"/>
        <v>4000</v>
      </c>
      <c r="Z52" s="5">
        <f t="shared" si="61"/>
        <v>4000</v>
      </c>
      <c r="AA52" s="8">
        <f t="shared" si="63"/>
        <v>4000</v>
      </c>
      <c r="AB52" s="5">
        <f t="shared" si="65"/>
        <v>4000</v>
      </c>
      <c r="AC52" s="5">
        <f t="shared" ref="AC52:AC60" si="67">$C$49*Q15</f>
        <v>4000</v>
      </c>
      <c r="AD52" s="5">
        <f t="shared" ref="AD52:AL52" si="68">$D$49*R52</f>
        <v>3600</v>
      </c>
      <c r="AE52" s="5">
        <f t="shared" si="68"/>
        <v>3600</v>
      </c>
      <c r="AF52" s="5">
        <f t="shared" si="68"/>
        <v>3600</v>
      </c>
      <c r="AG52" s="5">
        <f t="shared" si="68"/>
        <v>3600</v>
      </c>
      <c r="AH52" s="5">
        <f t="shared" si="68"/>
        <v>3600</v>
      </c>
      <c r="AI52" s="5">
        <f t="shared" si="68"/>
        <v>3600</v>
      </c>
      <c r="AJ52" s="5">
        <f t="shared" si="68"/>
        <v>3600</v>
      </c>
      <c r="AK52" s="5">
        <f t="shared" si="68"/>
        <v>3600</v>
      </c>
      <c r="AL52" s="5">
        <f t="shared" si="68"/>
        <v>3600</v>
      </c>
    </row>
    <row r="53" spans="1:38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8">
        <f t="shared" si="50"/>
        <v>0</v>
      </c>
      <c r="P53" s="5">
        <f t="shared" si="51"/>
        <v>0</v>
      </c>
      <c r="Q53" s="5">
        <f t="shared" si="52"/>
        <v>0</v>
      </c>
      <c r="R53" s="5">
        <f t="shared" si="53"/>
        <v>0</v>
      </c>
      <c r="S53" s="5">
        <f t="shared" si="54"/>
        <v>8000</v>
      </c>
      <c r="T53" s="5">
        <f t="shared" si="55"/>
        <v>8000</v>
      </c>
      <c r="U53" s="5">
        <f t="shared" si="56"/>
        <v>8000</v>
      </c>
      <c r="V53" s="5">
        <f t="shared" si="57"/>
        <v>8000</v>
      </c>
      <c r="W53" s="5">
        <f t="shared" si="58"/>
        <v>8000</v>
      </c>
      <c r="X53" s="5">
        <f t="shared" si="59"/>
        <v>8000</v>
      </c>
      <c r="Y53" s="5">
        <f t="shared" si="60"/>
        <v>8000</v>
      </c>
      <c r="Z53" s="5">
        <f t="shared" si="61"/>
        <v>8000</v>
      </c>
      <c r="AA53" s="8">
        <f t="shared" si="63"/>
        <v>8000</v>
      </c>
      <c r="AB53" s="5">
        <f t="shared" si="65"/>
        <v>8000</v>
      </c>
      <c r="AC53" s="5">
        <f t="shared" si="67"/>
        <v>8000</v>
      </c>
      <c r="AD53" s="5">
        <f t="shared" ref="AD53:AD60" si="69">$C$49*R16</f>
        <v>8000</v>
      </c>
      <c r="AE53" s="5">
        <f t="shared" ref="AE53:AL53" si="70">$D$49*S53</f>
        <v>7200</v>
      </c>
      <c r="AF53" s="5">
        <f t="shared" si="70"/>
        <v>7200</v>
      </c>
      <c r="AG53" s="5">
        <f t="shared" si="70"/>
        <v>7200</v>
      </c>
      <c r="AH53" s="5">
        <f t="shared" si="70"/>
        <v>7200</v>
      </c>
      <c r="AI53" s="5">
        <f t="shared" si="70"/>
        <v>7200</v>
      </c>
      <c r="AJ53" s="5">
        <f t="shared" si="70"/>
        <v>7200</v>
      </c>
      <c r="AK53" s="5">
        <f t="shared" si="70"/>
        <v>7200</v>
      </c>
      <c r="AL53" s="5">
        <f t="shared" si="70"/>
        <v>7200</v>
      </c>
    </row>
    <row r="54" spans="1:38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8">
        <f t="shared" si="50"/>
        <v>0</v>
      </c>
      <c r="P54" s="5">
        <f t="shared" si="51"/>
        <v>0</v>
      </c>
      <c r="Q54" s="5">
        <f t="shared" si="52"/>
        <v>0</v>
      </c>
      <c r="R54" s="5">
        <f t="shared" si="53"/>
        <v>0</v>
      </c>
      <c r="S54" s="5">
        <f t="shared" si="54"/>
        <v>0</v>
      </c>
      <c r="T54" s="5">
        <f t="shared" si="55"/>
        <v>8000</v>
      </c>
      <c r="U54" s="5">
        <f t="shared" si="56"/>
        <v>8000</v>
      </c>
      <c r="V54" s="5">
        <f t="shared" si="57"/>
        <v>8000</v>
      </c>
      <c r="W54" s="5">
        <f t="shared" si="58"/>
        <v>8000</v>
      </c>
      <c r="X54" s="5">
        <f t="shared" si="59"/>
        <v>8000</v>
      </c>
      <c r="Y54" s="5">
        <f t="shared" si="60"/>
        <v>8000</v>
      </c>
      <c r="Z54" s="5">
        <f t="shared" si="61"/>
        <v>8000</v>
      </c>
      <c r="AA54" s="8">
        <f t="shared" si="63"/>
        <v>8000</v>
      </c>
      <c r="AB54" s="5">
        <f t="shared" si="65"/>
        <v>8000</v>
      </c>
      <c r="AC54" s="5">
        <f t="shared" si="67"/>
        <v>8000</v>
      </c>
      <c r="AD54" s="5">
        <f t="shared" si="69"/>
        <v>8000</v>
      </c>
      <c r="AE54" s="5">
        <f t="shared" ref="AE54:AE60" si="71">$C$49*S17</f>
        <v>8000</v>
      </c>
      <c r="AF54" s="5">
        <f t="shared" ref="AF54:AL54" si="72">$D$49*T54</f>
        <v>7200</v>
      </c>
      <c r="AG54" s="5">
        <f t="shared" si="72"/>
        <v>7200</v>
      </c>
      <c r="AH54" s="5">
        <f t="shared" si="72"/>
        <v>7200</v>
      </c>
      <c r="AI54" s="5">
        <f t="shared" si="72"/>
        <v>7200</v>
      </c>
      <c r="AJ54" s="5">
        <f t="shared" si="72"/>
        <v>7200</v>
      </c>
      <c r="AK54" s="5">
        <f t="shared" si="72"/>
        <v>7200</v>
      </c>
      <c r="AL54" s="5">
        <f t="shared" si="72"/>
        <v>7200</v>
      </c>
    </row>
    <row r="55" spans="1:38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8">
        <f t="shared" si="50"/>
        <v>0</v>
      </c>
      <c r="P55" s="5">
        <f t="shared" si="51"/>
        <v>0</v>
      </c>
      <c r="Q55" s="5">
        <f t="shared" si="52"/>
        <v>0</v>
      </c>
      <c r="R55" s="5">
        <f t="shared" si="53"/>
        <v>0</v>
      </c>
      <c r="S55" s="5">
        <f t="shared" si="54"/>
        <v>0</v>
      </c>
      <c r="T55" s="5">
        <f t="shared" si="55"/>
        <v>0</v>
      </c>
      <c r="U55" s="5">
        <f t="shared" si="56"/>
        <v>10000</v>
      </c>
      <c r="V55" s="5">
        <f t="shared" si="57"/>
        <v>10000</v>
      </c>
      <c r="W55" s="5">
        <f t="shared" si="58"/>
        <v>10000</v>
      </c>
      <c r="X55" s="5">
        <f t="shared" si="59"/>
        <v>10000</v>
      </c>
      <c r="Y55" s="5">
        <f t="shared" si="60"/>
        <v>10000</v>
      </c>
      <c r="Z55" s="5">
        <f t="shared" si="61"/>
        <v>10000</v>
      </c>
      <c r="AA55" s="8">
        <f t="shared" si="63"/>
        <v>10000</v>
      </c>
      <c r="AB55" s="5">
        <f t="shared" si="65"/>
        <v>10000</v>
      </c>
      <c r="AC55" s="5">
        <f t="shared" si="67"/>
        <v>10000</v>
      </c>
      <c r="AD55" s="5">
        <f t="shared" si="69"/>
        <v>10000</v>
      </c>
      <c r="AE55" s="5">
        <f t="shared" si="71"/>
        <v>10000</v>
      </c>
      <c r="AF55" s="5">
        <f t="shared" ref="AF55:AF60" si="73">$C$49*T18</f>
        <v>10000</v>
      </c>
      <c r="AG55" s="5">
        <f t="shared" ref="AG55:AL55" si="74">$D$49*U55</f>
        <v>9000</v>
      </c>
      <c r="AH55" s="5">
        <f t="shared" si="74"/>
        <v>9000</v>
      </c>
      <c r="AI55" s="5">
        <f t="shared" si="74"/>
        <v>9000</v>
      </c>
      <c r="AJ55" s="5">
        <f t="shared" si="74"/>
        <v>9000</v>
      </c>
      <c r="AK55" s="5">
        <f t="shared" si="74"/>
        <v>9000</v>
      </c>
      <c r="AL55" s="5">
        <f t="shared" si="74"/>
        <v>9000</v>
      </c>
    </row>
    <row r="56" spans="1:38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8">
        <f t="shared" si="50"/>
        <v>0</v>
      </c>
      <c r="P56" s="5">
        <f t="shared" si="51"/>
        <v>0</v>
      </c>
      <c r="Q56" s="5">
        <f t="shared" si="52"/>
        <v>0</v>
      </c>
      <c r="R56" s="5">
        <f t="shared" si="53"/>
        <v>0</v>
      </c>
      <c r="S56" s="5">
        <f t="shared" si="54"/>
        <v>0</v>
      </c>
      <c r="T56" s="5">
        <f t="shared" si="55"/>
        <v>0</v>
      </c>
      <c r="U56" s="5">
        <f t="shared" si="56"/>
        <v>0</v>
      </c>
      <c r="V56" s="5">
        <f t="shared" si="57"/>
        <v>10000</v>
      </c>
      <c r="W56" s="5">
        <f t="shared" si="58"/>
        <v>10000</v>
      </c>
      <c r="X56" s="5">
        <f t="shared" si="59"/>
        <v>10000</v>
      </c>
      <c r="Y56" s="5">
        <f t="shared" si="60"/>
        <v>10000</v>
      </c>
      <c r="Z56" s="5">
        <f t="shared" si="61"/>
        <v>10000</v>
      </c>
      <c r="AA56" s="8">
        <f t="shared" si="63"/>
        <v>10000</v>
      </c>
      <c r="AB56" s="5">
        <f t="shared" si="65"/>
        <v>10000</v>
      </c>
      <c r="AC56" s="5">
        <f t="shared" si="67"/>
        <v>10000</v>
      </c>
      <c r="AD56" s="5">
        <f t="shared" si="69"/>
        <v>10000</v>
      </c>
      <c r="AE56" s="5">
        <f t="shared" si="71"/>
        <v>10000</v>
      </c>
      <c r="AF56" s="5">
        <f t="shared" si="73"/>
        <v>10000</v>
      </c>
      <c r="AG56" s="5">
        <f>$C$49*U19</f>
        <v>10000</v>
      </c>
      <c r="AH56" s="5">
        <f>$D$49*V56</f>
        <v>9000</v>
      </c>
      <c r="AI56" s="5">
        <f>$D$49*W56</f>
        <v>9000</v>
      </c>
      <c r="AJ56" s="5">
        <f>$D$49*X56</f>
        <v>9000</v>
      </c>
      <c r="AK56" s="5">
        <f>$D$49*Y56</f>
        <v>9000</v>
      </c>
      <c r="AL56" s="5">
        <f>$D$49*Z56</f>
        <v>9000</v>
      </c>
    </row>
    <row r="57" spans="1:38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8">
        <f t="shared" si="50"/>
        <v>0</v>
      </c>
      <c r="P57" s="5">
        <f t="shared" si="51"/>
        <v>0</v>
      </c>
      <c r="Q57" s="5">
        <f t="shared" si="52"/>
        <v>0</v>
      </c>
      <c r="R57" s="5">
        <f t="shared" si="53"/>
        <v>0</v>
      </c>
      <c r="S57" s="5">
        <f t="shared" si="54"/>
        <v>0</v>
      </c>
      <c r="T57" s="5">
        <f t="shared" si="55"/>
        <v>0</v>
      </c>
      <c r="U57" s="5">
        <f t="shared" si="56"/>
        <v>0</v>
      </c>
      <c r="V57" s="5">
        <f t="shared" si="57"/>
        <v>0</v>
      </c>
      <c r="W57" s="5">
        <f t="shared" si="58"/>
        <v>12000</v>
      </c>
      <c r="X57" s="5">
        <f t="shared" si="59"/>
        <v>12000</v>
      </c>
      <c r="Y57" s="5">
        <f t="shared" si="60"/>
        <v>12000</v>
      </c>
      <c r="Z57" s="5">
        <f t="shared" si="61"/>
        <v>12000</v>
      </c>
      <c r="AA57" s="8">
        <f t="shared" si="63"/>
        <v>12000</v>
      </c>
      <c r="AB57" s="5">
        <f t="shared" si="65"/>
        <v>12000</v>
      </c>
      <c r="AC57" s="5">
        <f t="shared" si="67"/>
        <v>12000</v>
      </c>
      <c r="AD57" s="5">
        <f t="shared" si="69"/>
        <v>12000</v>
      </c>
      <c r="AE57" s="5">
        <f t="shared" si="71"/>
        <v>12000</v>
      </c>
      <c r="AF57" s="5">
        <f t="shared" si="73"/>
        <v>12000</v>
      </c>
      <c r="AG57" s="5">
        <f>$C$49*U20</f>
        <v>12000</v>
      </c>
      <c r="AH57" s="5">
        <f>$C$49*V20</f>
        <v>12000</v>
      </c>
      <c r="AI57" s="5">
        <f>$D$49*W57</f>
        <v>10800</v>
      </c>
      <c r="AJ57" s="5">
        <f>$D$49*X57</f>
        <v>10800</v>
      </c>
      <c r="AK57" s="5">
        <f>$D$49*Y57</f>
        <v>10800</v>
      </c>
      <c r="AL57" s="5">
        <f>$D$49*Z57</f>
        <v>10800</v>
      </c>
    </row>
    <row r="58" spans="1:38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8">
        <f t="shared" si="50"/>
        <v>0</v>
      </c>
      <c r="P58" s="5">
        <f t="shared" si="51"/>
        <v>0</v>
      </c>
      <c r="Q58" s="5">
        <f t="shared" si="52"/>
        <v>0</v>
      </c>
      <c r="R58" s="5">
        <f t="shared" si="53"/>
        <v>0</v>
      </c>
      <c r="S58" s="5">
        <f t="shared" si="54"/>
        <v>0</v>
      </c>
      <c r="T58" s="5">
        <f t="shared" si="55"/>
        <v>0</v>
      </c>
      <c r="U58" s="5">
        <f t="shared" si="56"/>
        <v>0</v>
      </c>
      <c r="V58" s="5">
        <f t="shared" si="57"/>
        <v>0</v>
      </c>
      <c r="W58" s="5">
        <f t="shared" si="58"/>
        <v>0</v>
      </c>
      <c r="X58" s="5">
        <f t="shared" si="59"/>
        <v>12000</v>
      </c>
      <c r="Y58" s="5">
        <f t="shared" si="60"/>
        <v>12000</v>
      </c>
      <c r="Z58" s="5">
        <f t="shared" si="61"/>
        <v>12000</v>
      </c>
      <c r="AA58" s="8">
        <f t="shared" si="63"/>
        <v>12000</v>
      </c>
      <c r="AB58" s="5">
        <f t="shared" si="65"/>
        <v>12000</v>
      </c>
      <c r="AC58" s="5">
        <f t="shared" si="67"/>
        <v>12000</v>
      </c>
      <c r="AD58" s="5">
        <f t="shared" si="69"/>
        <v>12000</v>
      </c>
      <c r="AE58" s="5">
        <f t="shared" si="71"/>
        <v>12000</v>
      </c>
      <c r="AF58" s="5">
        <f t="shared" si="73"/>
        <v>12000</v>
      </c>
      <c r="AG58" s="5">
        <f>$C$49*U21</f>
        <v>12000</v>
      </c>
      <c r="AH58" s="5">
        <f>$C$49*V21</f>
        <v>12000</v>
      </c>
      <c r="AI58" s="5">
        <f>$C$49*W21</f>
        <v>12000</v>
      </c>
      <c r="AJ58" s="5">
        <f>$D$49*X58</f>
        <v>10800</v>
      </c>
      <c r="AK58" s="5">
        <f>$D$49*Y58</f>
        <v>10800</v>
      </c>
      <c r="AL58" s="5">
        <f>$D$49*Z58</f>
        <v>10800</v>
      </c>
    </row>
    <row r="59" spans="1:38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8">
        <f t="shared" si="50"/>
        <v>0</v>
      </c>
      <c r="P59" s="5">
        <f t="shared" si="51"/>
        <v>0</v>
      </c>
      <c r="Q59" s="5">
        <f t="shared" si="52"/>
        <v>0</v>
      </c>
      <c r="R59" s="5">
        <f t="shared" si="53"/>
        <v>0</v>
      </c>
      <c r="S59" s="5">
        <f t="shared" si="54"/>
        <v>0</v>
      </c>
      <c r="T59" s="5">
        <f t="shared" si="55"/>
        <v>0</v>
      </c>
      <c r="U59" s="5">
        <f t="shared" si="56"/>
        <v>0</v>
      </c>
      <c r="V59" s="5">
        <f t="shared" si="57"/>
        <v>0</v>
      </c>
      <c r="W59" s="5">
        <f t="shared" si="58"/>
        <v>0</v>
      </c>
      <c r="X59" s="5">
        <f t="shared" si="59"/>
        <v>0</v>
      </c>
      <c r="Y59" s="5">
        <f t="shared" si="60"/>
        <v>16000</v>
      </c>
      <c r="Z59" s="5">
        <f t="shared" si="61"/>
        <v>16000</v>
      </c>
      <c r="AA59" s="8">
        <f t="shared" si="63"/>
        <v>16000</v>
      </c>
      <c r="AB59" s="5">
        <f t="shared" si="65"/>
        <v>16000</v>
      </c>
      <c r="AC59" s="5">
        <f t="shared" si="67"/>
        <v>16000</v>
      </c>
      <c r="AD59" s="5">
        <f t="shared" si="69"/>
        <v>16000</v>
      </c>
      <c r="AE59" s="5">
        <f t="shared" si="71"/>
        <v>16000</v>
      </c>
      <c r="AF59" s="5">
        <f t="shared" si="73"/>
        <v>16000</v>
      </c>
      <c r="AG59" s="5">
        <f>$C$49*U22</f>
        <v>16000</v>
      </c>
      <c r="AH59" s="5">
        <f>$C$49*V22</f>
        <v>16000</v>
      </c>
      <c r="AI59" s="5">
        <f>$C$49*W22</f>
        <v>16000</v>
      </c>
      <c r="AJ59" s="5">
        <f>$C$49*X22</f>
        <v>16000</v>
      </c>
      <c r="AK59" s="5">
        <f>$D$49*Y59</f>
        <v>14400</v>
      </c>
      <c r="AL59" s="5">
        <f>$D$49*Z59</f>
        <v>14400</v>
      </c>
    </row>
    <row r="60" spans="1:38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8">
        <f t="shared" si="50"/>
        <v>0</v>
      </c>
      <c r="P60" s="5">
        <f t="shared" si="51"/>
        <v>0</v>
      </c>
      <c r="Q60" s="5">
        <f t="shared" si="52"/>
        <v>0</v>
      </c>
      <c r="R60" s="5">
        <f t="shared" si="53"/>
        <v>0</v>
      </c>
      <c r="S60" s="5">
        <f t="shared" si="54"/>
        <v>0</v>
      </c>
      <c r="T60" s="5">
        <f t="shared" si="55"/>
        <v>0</v>
      </c>
      <c r="U60" s="5">
        <f t="shared" si="56"/>
        <v>0</v>
      </c>
      <c r="V60" s="5">
        <f t="shared" si="57"/>
        <v>0</v>
      </c>
      <c r="W60" s="5">
        <f t="shared" si="58"/>
        <v>0</v>
      </c>
      <c r="X60" s="5">
        <f t="shared" si="59"/>
        <v>0</v>
      </c>
      <c r="Y60" s="5">
        <f t="shared" si="60"/>
        <v>0</v>
      </c>
      <c r="Z60" s="5">
        <f t="shared" si="61"/>
        <v>16000</v>
      </c>
      <c r="AA60" s="8">
        <f t="shared" si="63"/>
        <v>16000</v>
      </c>
      <c r="AB60" s="5">
        <f t="shared" si="65"/>
        <v>16000</v>
      </c>
      <c r="AC60" s="5">
        <f t="shared" si="67"/>
        <v>16000</v>
      </c>
      <c r="AD60" s="5">
        <f t="shared" si="69"/>
        <v>16000</v>
      </c>
      <c r="AE60" s="5">
        <f t="shared" si="71"/>
        <v>16000</v>
      </c>
      <c r="AF60" s="5">
        <f t="shared" si="73"/>
        <v>16000</v>
      </c>
      <c r="AG60" s="5">
        <f>$C$49*U23</f>
        <v>16000</v>
      </c>
      <c r="AH60" s="5">
        <f>$C$49*V23</f>
        <v>16000</v>
      </c>
      <c r="AI60" s="5">
        <f>$C$49*W23</f>
        <v>16000</v>
      </c>
      <c r="AJ60" s="5">
        <f>$C$49*X23</f>
        <v>16000</v>
      </c>
      <c r="AK60" s="5">
        <f>$C$49*Y23</f>
        <v>16000</v>
      </c>
      <c r="AL60" s="5">
        <f>$D$49*Z60</f>
        <v>14400</v>
      </c>
    </row>
    <row r="61" spans="1:38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8">
        <f t="shared" si="50"/>
        <v>0</v>
      </c>
      <c r="P61" s="5">
        <f t="shared" si="51"/>
        <v>0</v>
      </c>
      <c r="Q61" s="5">
        <f t="shared" si="52"/>
        <v>0</v>
      </c>
      <c r="R61" s="5">
        <f t="shared" si="53"/>
        <v>0</v>
      </c>
      <c r="S61" s="5">
        <f t="shared" si="54"/>
        <v>0</v>
      </c>
      <c r="T61" s="5">
        <f t="shared" si="55"/>
        <v>0</v>
      </c>
      <c r="U61" s="5">
        <f t="shared" si="56"/>
        <v>0</v>
      </c>
      <c r="V61" s="5">
        <f t="shared" si="57"/>
        <v>0</v>
      </c>
      <c r="W61" s="5">
        <f t="shared" si="58"/>
        <v>0</v>
      </c>
      <c r="X61" s="5">
        <f t="shared" si="59"/>
        <v>0</v>
      </c>
      <c r="Y61" s="5">
        <f t="shared" si="60"/>
        <v>0</v>
      </c>
      <c r="Z61" s="5">
        <f t="shared" si="61"/>
        <v>0</v>
      </c>
      <c r="AA61" s="9">
        <f t="shared" ref="AA61:AA73" si="75">$D$49*O24</f>
        <v>18000</v>
      </c>
      <c r="AB61" s="10">
        <f t="shared" ref="AB61:AB73" si="76">$D$49*P24</f>
        <v>18000</v>
      </c>
      <c r="AC61" s="10">
        <f t="shared" ref="AC61:AC73" si="77">$D$49*Q24</f>
        <v>18000</v>
      </c>
      <c r="AD61" s="10">
        <f t="shared" ref="AD61:AD73" si="78">$D$49*R24</f>
        <v>18000</v>
      </c>
      <c r="AE61" s="10">
        <f t="shared" ref="AE61:AE73" si="79">$D$49*S24</f>
        <v>18000</v>
      </c>
      <c r="AF61" s="10">
        <f t="shared" ref="AF61:AF73" si="80">$D$49*T24</f>
        <v>18000</v>
      </c>
      <c r="AG61" s="10">
        <f t="shared" ref="AG61:AG73" si="81">$D$49*U24</f>
        <v>18000</v>
      </c>
      <c r="AH61" s="10">
        <f t="shared" ref="AH61:AH73" si="82">$D$49*V24</f>
        <v>18000</v>
      </c>
      <c r="AI61" s="10">
        <f t="shared" ref="AI61:AI73" si="83">$D$49*W24</f>
        <v>18000</v>
      </c>
      <c r="AJ61" s="10">
        <f t="shared" ref="AJ61:AJ73" si="84">$D$49*X24</f>
        <v>18000</v>
      </c>
      <c r="AK61" s="10">
        <f t="shared" ref="AK61:AK73" si="85">$D$49*Y24</f>
        <v>18000</v>
      </c>
      <c r="AL61" s="10">
        <f t="shared" ref="AL61:AL73" si="86">$D$49*Z24</f>
        <v>18000</v>
      </c>
    </row>
    <row r="62" spans="1:38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8">
        <f t="shared" si="50"/>
        <v>0</v>
      </c>
      <c r="P62" s="5">
        <f t="shared" si="51"/>
        <v>0</v>
      </c>
      <c r="Q62" s="5">
        <f t="shared" si="52"/>
        <v>0</v>
      </c>
      <c r="R62" s="5">
        <f t="shared" si="53"/>
        <v>0</v>
      </c>
      <c r="S62" s="5">
        <f t="shared" si="54"/>
        <v>0</v>
      </c>
      <c r="T62" s="5">
        <f t="shared" si="55"/>
        <v>0</v>
      </c>
      <c r="U62" s="5">
        <f t="shared" si="56"/>
        <v>0</v>
      </c>
      <c r="V62" s="5">
        <f t="shared" si="57"/>
        <v>0</v>
      </c>
      <c r="W62" s="5">
        <f t="shared" si="58"/>
        <v>0</v>
      </c>
      <c r="X62" s="5">
        <f t="shared" si="59"/>
        <v>0</v>
      </c>
      <c r="Y62" s="5">
        <f t="shared" si="60"/>
        <v>0</v>
      </c>
      <c r="Z62" s="5">
        <f t="shared" si="61"/>
        <v>0</v>
      </c>
      <c r="AA62" s="8">
        <f t="shared" si="75"/>
        <v>0</v>
      </c>
      <c r="AB62" s="10">
        <f t="shared" si="76"/>
        <v>18000</v>
      </c>
      <c r="AC62" s="10">
        <f t="shared" si="77"/>
        <v>18000</v>
      </c>
      <c r="AD62" s="10">
        <f t="shared" si="78"/>
        <v>18000</v>
      </c>
      <c r="AE62" s="10">
        <f t="shared" si="79"/>
        <v>18000</v>
      </c>
      <c r="AF62" s="10">
        <f t="shared" si="80"/>
        <v>18000</v>
      </c>
      <c r="AG62" s="10">
        <f t="shared" si="81"/>
        <v>18000</v>
      </c>
      <c r="AH62" s="10">
        <f t="shared" si="82"/>
        <v>18000</v>
      </c>
      <c r="AI62" s="10">
        <f t="shared" si="83"/>
        <v>18000</v>
      </c>
      <c r="AJ62" s="10">
        <f t="shared" si="84"/>
        <v>18000</v>
      </c>
      <c r="AK62" s="10">
        <f t="shared" si="85"/>
        <v>18000</v>
      </c>
      <c r="AL62" s="10">
        <f t="shared" si="86"/>
        <v>18000</v>
      </c>
    </row>
    <row r="63" spans="1:38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8">
        <f t="shared" si="50"/>
        <v>0</v>
      </c>
      <c r="P63" s="5">
        <f t="shared" si="51"/>
        <v>0</v>
      </c>
      <c r="Q63" s="5">
        <f t="shared" si="52"/>
        <v>0</v>
      </c>
      <c r="R63" s="5">
        <f t="shared" si="53"/>
        <v>0</v>
      </c>
      <c r="S63" s="5">
        <f t="shared" si="54"/>
        <v>0</v>
      </c>
      <c r="T63" s="5">
        <f t="shared" si="55"/>
        <v>0</v>
      </c>
      <c r="U63" s="5">
        <f t="shared" si="56"/>
        <v>0</v>
      </c>
      <c r="V63" s="5">
        <f t="shared" si="57"/>
        <v>0</v>
      </c>
      <c r="W63" s="5">
        <f t="shared" si="58"/>
        <v>0</v>
      </c>
      <c r="X63" s="5">
        <f t="shared" si="59"/>
        <v>0</v>
      </c>
      <c r="Y63" s="5">
        <f t="shared" si="60"/>
        <v>0</v>
      </c>
      <c r="Z63" s="5">
        <f t="shared" si="61"/>
        <v>0</v>
      </c>
      <c r="AA63" s="8">
        <f t="shared" si="75"/>
        <v>0</v>
      </c>
      <c r="AB63" s="5">
        <f t="shared" si="76"/>
        <v>0</v>
      </c>
      <c r="AC63" s="10">
        <f t="shared" si="77"/>
        <v>22500</v>
      </c>
      <c r="AD63" s="10">
        <f t="shared" si="78"/>
        <v>22500</v>
      </c>
      <c r="AE63" s="10">
        <f t="shared" si="79"/>
        <v>22500</v>
      </c>
      <c r="AF63" s="10">
        <f t="shared" si="80"/>
        <v>22500</v>
      </c>
      <c r="AG63" s="10">
        <f t="shared" si="81"/>
        <v>22500</v>
      </c>
      <c r="AH63" s="10">
        <f t="shared" si="82"/>
        <v>22500</v>
      </c>
      <c r="AI63" s="10">
        <f t="shared" si="83"/>
        <v>22500</v>
      </c>
      <c r="AJ63" s="10">
        <f t="shared" si="84"/>
        <v>22500</v>
      </c>
      <c r="AK63" s="10">
        <f t="shared" si="85"/>
        <v>22500</v>
      </c>
      <c r="AL63" s="10">
        <f t="shared" si="86"/>
        <v>22500</v>
      </c>
    </row>
    <row r="64" spans="1:38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8">
        <f t="shared" si="50"/>
        <v>0</v>
      </c>
      <c r="P64" s="5">
        <f t="shared" si="51"/>
        <v>0</v>
      </c>
      <c r="Q64" s="5">
        <f t="shared" si="52"/>
        <v>0</v>
      </c>
      <c r="R64" s="5">
        <f t="shared" si="53"/>
        <v>0</v>
      </c>
      <c r="S64" s="5">
        <f t="shared" si="54"/>
        <v>0</v>
      </c>
      <c r="T64" s="5">
        <f t="shared" si="55"/>
        <v>0</v>
      </c>
      <c r="U64" s="5">
        <f t="shared" si="56"/>
        <v>0</v>
      </c>
      <c r="V64" s="5">
        <f t="shared" si="57"/>
        <v>0</v>
      </c>
      <c r="W64" s="5">
        <f t="shared" si="58"/>
        <v>0</v>
      </c>
      <c r="X64" s="5">
        <f t="shared" si="59"/>
        <v>0</v>
      </c>
      <c r="Y64" s="5">
        <f t="shared" si="60"/>
        <v>0</v>
      </c>
      <c r="Z64" s="5">
        <f t="shared" si="61"/>
        <v>0</v>
      </c>
      <c r="AA64" s="8">
        <f t="shared" si="75"/>
        <v>0</v>
      </c>
      <c r="AB64" s="5">
        <f t="shared" si="76"/>
        <v>0</v>
      </c>
      <c r="AC64" s="5">
        <f t="shared" si="77"/>
        <v>0</v>
      </c>
      <c r="AD64" s="10">
        <f t="shared" si="78"/>
        <v>22500</v>
      </c>
      <c r="AE64" s="10">
        <f t="shared" si="79"/>
        <v>22500</v>
      </c>
      <c r="AF64" s="10">
        <f t="shared" si="80"/>
        <v>22500</v>
      </c>
      <c r="AG64" s="10">
        <f t="shared" si="81"/>
        <v>22500</v>
      </c>
      <c r="AH64" s="10">
        <f t="shared" si="82"/>
        <v>22500</v>
      </c>
      <c r="AI64" s="10">
        <f t="shared" si="83"/>
        <v>22500</v>
      </c>
      <c r="AJ64" s="10">
        <f t="shared" si="84"/>
        <v>22500</v>
      </c>
      <c r="AK64" s="10">
        <f t="shared" si="85"/>
        <v>22500</v>
      </c>
      <c r="AL64" s="10">
        <f t="shared" si="86"/>
        <v>22500</v>
      </c>
    </row>
    <row r="65" spans="1:38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8">
        <f t="shared" si="50"/>
        <v>0</v>
      </c>
      <c r="P65" s="5">
        <f t="shared" si="51"/>
        <v>0</v>
      </c>
      <c r="Q65" s="5">
        <f t="shared" si="52"/>
        <v>0</v>
      </c>
      <c r="R65" s="5">
        <f t="shared" si="53"/>
        <v>0</v>
      </c>
      <c r="S65" s="5">
        <f t="shared" si="54"/>
        <v>0</v>
      </c>
      <c r="T65" s="5">
        <f t="shared" si="55"/>
        <v>0</v>
      </c>
      <c r="U65" s="5">
        <f t="shared" si="56"/>
        <v>0</v>
      </c>
      <c r="V65" s="5">
        <f t="shared" si="57"/>
        <v>0</v>
      </c>
      <c r="W65" s="5">
        <f t="shared" si="58"/>
        <v>0</v>
      </c>
      <c r="X65" s="5">
        <f t="shared" si="59"/>
        <v>0</v>
      </c>
      <c r="Y65" s="5">
        <f t="shared" si="60"/>
        <v>0</v>
      </c>
      <c r="Z65" s="5">
        <f t="shared" si="61"/>
        <v>0</v>
      </c>
      <c r="AA65" s="8">
        <f t="shared" si="75"/>
        <v>0</v>
      </c>
      <c r="AB65" s="5">
        <f t="shared" si="76"/>
        <v>0</v>
      </c>
      <c r="AC65" s="5">
        <f t="shared" si="77"/>
        <v>0</v>
      </c>
      <c r="AD65" s="5">
        <f t="shared" si="78"/>
        <v>0</v>
      </c>
      <c r="AE65" s="10">
        <f t="shared" si="79"/>
        <v>22500</v>
      </c>
      <c r="AF65" s="10">
        <f t="shared" si="80"/>
        <v>22500</v>
      </c>
      <c r="AG65" s="10">
        <f t="shared" si="81"/>
        <v>22500</v>
      </c>
      <c r="AH65" s="10">
        <f t="shared" si="82"/>
        <v>22500</v>
      </c>
      <c r="AI65" s="10">
        <f t="shared" si="83"/>
        <v>22500</v>
      </c>
      <c r="AJ65" s="10">
        <f t="shared" si="84"/>
        <v>22500</v>
      </c>
      <c r="AK65" s="10">
        <f t="shared" si="85"/>
        <v>22500</v>
      </c>
      <c r="AL65" s="10">
        <f t="shared" si="86"/>
        <v>22500</v>
      </c>
    </row>
    <row r="66" spans="1:38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8">
        <f t="shared" si="50"/>
        <v>0</v>
      </c>
      <c r="P66" s="5">
        <f t="shared" si="51"/>
        <v>0</v>
      </c>
      <c r="Q66" s="5">
        <f t="shared" si="52"/>
        <v>0</v>
      </c>
      <c r="R66" s="5">
        <f t="shared" si="53"/>
        <v>0</v>
      </c>
      <c r="S66" s="5">
        <f t="shared" si="54"/>
        <v>0</v>
      </c>
      <c r="T66" s="5">
        <f t="shared" si="55"/>
        <v>0</v>
      </c>
      <c r="U66" s="5">
        <f t="shared" si="56"/>
        <v>0</v>
      </c>
      <c r="V66" s="5">
        <f t="shared" si="57"/>
        <v>0</v>
      </c>
      <c r="W66" s="5">
        <f t="shared" si="58"/>
        <v>0</v>
      </c>
      <c r="X66" s="5">
        <f t="shared" si="59"/>
        <v>0</v>
      </c>
      <c r="Y66" s="5">
        <f t="shared" si="60"/>
        <v>0</v>
      </c>
      <c r="Z66" s="5">
        <f t="shared" si="61"/>
        <v>0</v>
      </c>
      <c r="AA66" s="8">
        <f t="shared" si="75"/>
        <v>0</v>
      </c>
      <c r="AB66" s="5">
        <f t="shared" si="76"/>
        <v>0</v>
      </c>
      <c r="AC66" s="5">
        <f t="shared" si="77"/>
        <v>0</v>
      </c>
      <c r="AD66" s="5">
        <f t="shared" si="78"/>
        <v>0</v>
      </c>
      <c r="AE66" s="5">
        <f t="shared" si="79"/>
        <v>0</v>
      </c>
      <c r="AF66" s="10">
        <f t="shared" si="80"/>
        <v>22500</v>
      </c>
      <c r="AG66" s="10">
        <f t="shared" si="81"/>
        <v>22500</v>
      </c>
      <c r="AH66" s="10">
        <f t="shared" si="82"/>
        <v>22500</v>
      </c>
      <c r="AI66" s="10">
        <f t="shared" si="83"/>
        <v>22500</v>
      </c>
      <c r="AJ66" s="10">
        <f t="shared" si="84"/>
        <v>22500</v>
      </c>
      <c r="AK66" s="10">
        <f t="shared" si="85"/>
        <v>22500</v>
      </c>
      <c r="AL66" s="10">
        <f t="shared" si="86"/>
        <v>22500</v>
      </c>
    </row>
    <row r="67" spans="1:38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8">
        <f t="shared" si="50"/>
        <v>0</v>
      </c>
      <c r="P67" s="5">
        <f t="shared" si="51"/>
        <v>0</v>
      </c>
      <c r="Q67" s="5">
        <f t="shared" si="52"/>
        <v>0</v>
      </c>
      <c r="R67" s="5">
        <f t="shared" si="53"/>
        <v>0</v>
      </c>
      <c r="S67" s="5">
        <f t="shared" si="54"/>
        <v>0</v>
      </c>
      <c r="T67" s="5">
        <f t="shared" si="55"/>
        <v>0</v>
      </c>
      <c r="U67" s="5">
        <f t="shared" si="56"/>
        <v>0</v>
      </c>
      <c r="V67" s="5">
        <f t="shared" si="57"/>
        <v>0</v>
      </c>
      <c r="W67" s="5">
        <f t="shared" si="58"/>
        <v>0</v>
      </c>
      <c r="X67" s="5">
        <f t="shared" si="59"/>
        <v>0</v>
      </c>
      <c r="Y67" s="5">
        <f t="shared" si="60"/>
        <v>0</v>
      </c>
      <c r="Z67" s="5">
        <f t="shared" si="61"/>
        <v>0</v>
      </c>
      <c r="AA67" s="8">
        <f t="shared" si="75"/>
        <v>0</v>
      </c>
      <c r="AB67" s="5">
        <f t="shared" si="76"/>
        <v>0</v>
      </c>
      <c r="AC67" s="5">
        <f t="shared" si="77"/>
        <v>0</v>
      </c>
      <c r="AD67" s="5">
        <f t="shared" si="78"/>
        <v>0</v>
      </c>
      <c r="AE67" s="5">
        <f t="shared" si="79"/>
        <v>0</v>
      </c>
      <c r="AF67" s="5">
        <f t="shared" si="80"/>
        <v>0</v>
      </c>
      <c r="AG67" s="10">
        <f t="shared" si="81"/>
        <v>22500</v>
      </c>
      <c r="AH67" s="10">
        <f t="shared" si="82"/>
        <v>22500</v>
      </c>
      <c r="AI67" s="10">
        <f t="shared" si="83"/>
        <v>22500</v>
      </c>
      <c r="AJ67" s="10">
        <f t="shared" si="84"/>
        <v>22500</v>
      </c>
      <c r="AK67" s="10">
        <f t="shared" si="85"/>
        <v>22500</v>
      </c>
      <c r="AL67" s="10">
        <f t="shared" si="86"/>
        <v>22500</v>
      </c>
    </row>
    <row r="68" spans="1:38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8">
        <f t="shared" si="50"/>
        <v>0</v>
      </c>
      <c r="P68" s="5">
        <f t="shared" si="51"/>
        <v>0</v>
      </c>
      <c r="Q68" s="5">
        <f t="shared" si="52"/>
        <v>0</v>
      </c>
      <c r="R68" s="5">
        <f t="shared" si="53"/>
        <v>0</v>
      </c>
      <c r="S68" s="5">
        <f t="shared" si="54"/>
        <v>0</v>
      </c>
      <c r="T68" s="5">
        <f t="shared" si="55"/>
        <v>0</v>
      </c>
      <c r="U68" s="5">
        <f t="shared" si="56"/>
        <v>0</v>
      </c>
      <c r="V68" s="5">
        <f t="shared" si="57"/>
        <v>0</v>
      </c>
      <c r="W68" s="5">
        <f t="shared" si="58"/>
        <v>0</v>
      </c>
      <c r="X68" s="5">
        <f t="shared" si="59"/>
        <v>0</v>
      </c>
      <c r="Y68" s="5">
        <f t="shared" si="60"/>
        <v>0</v>
      </c>
      <c r="Z68" s="5">
        <f t="shared" si="61"/>
        <v>0</v>
      </c>
      <c r="AA68" s="8">
        <f t="shared" si="75"/>
        <v>0</v>
      </c>
      <c r="AB68" s="5">
        <f t="shared" si="76"/>
        <v>0</v>
      </c>
      <c r="AC68" s="5">
        <f t="shared" si="77"/>
        <v>0</v>
      </c>
      <c r="AD68" s="5">
        <f t="shared" si="78"/>
        <v>0</v>
      </c>
      <c r="AE68" s="5">
        <f t="shared" si="79"/>
        <v>0</v>
      </c>
      <c r="AF68" s="5">
        <f t="shared" si="80"/>
        <v>0</v>
      </c>
      <c r="AG68" s="5">
        <f t="shared" si="81"/>
        <v>0</v>
      </c>
      <c r="AH68" s="10">
        <f t="shared" si="82"/>
        <v>22500</v>
      </c>
      <c r="AI68" s="10">
        <f t="shared" si="83"/>
        <v>22500</v>
      </c>
      <c r="AJ68" s="10">
        <f t="shared" si="84"/>
        <v>22500</v>
      </c>
      <c r="AK68" s="10">
        <f t="shared" si="85"/>
        <v>22500</v>
      </c>
      <c r="AL68" s="10">
        <f t="shared" si="86"/>
        <v>22500</v>
      </c>
    </row>
    <row r="69" spans="1:38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8">
        <f t="shared" si="50"/>
        <v>0</v>
      </c>
      <c r="P69" s="5">
        <f t="shared" si="51"/>
        <v>0</v>
      </c>
      <c r="Q69" s="5">
        <f t="shared" si="52"/>
        <v>0</v>
      </c>
      <c r="R69" s="5">
        <f t="shared" si="53"/>
        <v>0</v>
      </c>
      <c r="S69" s="5">
        <f t="shared" si="54"/>
        <v>0</v>
      </c>
      <c r="T69" s="5">
        <f t="shared" si="55"/>
        <v>0</v>
      </c>
      <c r="U69" s="5">
        <f t="shared" si="56"/>
        <v>0</v>
      </c>
      <c r="V69" s="5">
        <f t="shared" si="57"/>
        <v>0</v>
      </c>
      <c r="W69" s="5">
        <f t="shared" si="58"/>
        <v>0</v>
      </c>
      <c r="X69" s="5">
        <f t="shared" si="59"/>
        <v>0</v>
      </c>
      <c r="Y69" s="5">
        <f t="shared" si="60"/>
        <v>0</v>
      </c>
      <c r="Z69" s="5">
        <f t="shared" si="61"/>
        <v>0</v>
      </c>
      <c r="AA69" s="8">
        <f t="shared" si="75"/>
        <v>0</v>
      </c>
      <c r="AB69" s="5">
        <f t="shared" si="76"/>
        <v>0</v>
      </c>
      <c r="AC69" s="5">
        <f t="shared" si="77"/>
        <v>0</v>
      </c>
      <c r="AD69" s="5">
        <f t="shared" si="78"/>
        <v>0</v>
      </c>
      <c r="AE69" s="5">
        <f t="shared" si="79"/>
        <v>0</v>
      </c>
      <c r="AF69" s="5">
        <f t="shared" si="80"/>
        <v>0</v>
      </c>
      <c r="AG69" s="5">
        <f t="shared" si="81"/>
        <v>0</v>
      </c>
      <c r="AH69" s="5">
        <f t="shared" si="82"/>
        <v>0</v>
      </c>
      <c r="AI69" s="10">
        <f t="shared" si="83"/>
        <v>22500</v>
      </c>
      <c r="AJ69" s="10">
        <f t="shared" si="84"/>
        <v>22500</v>
      </c>
      <c r="AK69" s="10">
        <f t="shared" si="85"/>
        <v>22500</v>
      </c>
      <c r="AL69" s="10">
        <f t="shared" si="86"/>
        <v>22500</v>
      </c>
    </row>
    <row r="70" spans="1:38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8">
        <f t="shared" si="50"/>
        <v>0</v>
      </c>
      <c r="P70" s="5">
        <f t="shared" si="51"/>
        <v>0</v>
      </c>
      <c r="Q70" s="5">
        <f t="shared" si="52"/>
        <v>0</v>
      </c>
      <c r="R70" s="5">
        <f t="shared" si="53"/>
        <v>0</v>
      </c>
      <c r="S70" s="5">
        <f t="shared" si="54"/>
        <v>0</v>
      </c>
      <c r="T70" s="5">
        <f t="shared" si="55"/>
        <v>0</v>
      </c>
      <c r="U70" s="5">
        <f t="shared" si="56"/>
        <v>0</v>
      </c>
      <c r="V70" s="5">
        <f t="shared" si="57"/>
        <v>0</v>
      </c>
      <c r="W70" s="5">
        <f t="shared" si="58"/>
        <v>0</v>
      </c>
      <c r="X70" s="5">
        <f t="shared" si="59"/>
        <v>0</v>
      </c>
      <c r="Y70" s="5">
        <f t="shared" si="60"/>
        <v>0</v>
      </c>
      <c r="Z70" s="5">
        <f t="shared" si="61"/>
        <v>0</v>
      </c>
      <c r="AA70" s="8">
        <f t="shared" si="75"/>
        <v>0</v>
      </c>
      <c r="AB70" s="5">
        <f t="shared" si="76"/>
        <v>0</v>
      </c>
      <c r="AC70" s="5">
        <f t="shared" si="77"/>
        <v>0</v>
      </c>
      <c r="AD70" s="5">
        <f t="shared" si="78"/>
        <v>0</v>
      </c>
      <c r="AE70" s="5">
        <f t="shared" si="79"/>
        <v>0</v>
      </c>
      <c r="AF70" s="5">
        <f t="shared" si="80"/>
        <v>0</v>
      </c>
      <c r="AG70" s="5">
        <f t="shared" si="81"/>
        <v>0</v>
      </c>
      <c r="AH70" s="5">
        <f t="shared" si="82"/>
        <v>0</v>
      </c>
      <c r="AI70" s="5">
        <f t="shared" si="83"/>
        <v>0</v>
      </c>
      <c r="AJ70" s="10">
        <f t="shared" si="84"/>
        <v>22500</v>
      </c>
      <c r="AK70" s="10">
        <f t="shared" si="85"/>
        <v>22500</v>
      </c>
      <c r="AL70" s="10">
        <f t="shared" si="86"/>
        <v>22500</v>
      </c>
    </row>
    <row r="71" spans="1:38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8">
        <f t="shared" si="50"/>
        <v>0</v>
      </c>
      <c r="P71" s="5">
        <f t="shared" si="51"/>
        <v>0</v>
      </c>
      <c r="Q71" s="5">
        <f t="shared" si="52"/>
        <v>0</v>
      </c>
      <c r="R71" s="5">
        <f t="shared" si="53"/>
        <v>0</v>
      </c>
      <c r="S71" s="5">
        <f t="shared" si="54"/>
        <v>0</v>
      </c>
      <c r="T71" s="5">
        <f t="shared" si="55"/>
        <v>0</v>
      </c>
      <c r="U71" s="5">
        <f t="shared" si="56"/>
        <v>0</v>
      </c>
      <c r="V71" s="5">
        <f t="shared" si="57"/>
        <v>0</v>
      </c>
      <c r="W71" s="5">
        <f t="shared" si="58"/>
        <v>0</v>
      </c>
      <c r="X71" s="5">
        <f t="shared" si="59"/>
        <v>0</v>
      </c>
      <c r="Y71" s="5">
        <f t="shared" si="60"/>
        <v>0</v>
      </c>
      <c r="Z71" s="5">
        <f t="shared" si="61"/>
        <v>0</v>
      </c>
      <c r="AA71" s="8">
        <f t="shared" si="75"/>
        <v>0</v>
      </c>
      <c r="AB71" s="5">
        <f t="shared" si="76"/>
        <v>0</v>
      </c>
      <c r="AC71" s="5">
        <f t="shared" si="77"/>
        <v>0</v>
      </c>
      <c r="AD71" s="5">
        <f t="shared" si="78"/>
        <v>0</v>
      </c>
      <c r="AE71" s="5">
        <f t="shared" si="79"/>
        <v>0</v>
      </c>
      <c r="AF71" s="5">
        <f t="shared" si="80"/>
        <v>0</v>
      </c>
      <c r="AG71" s="5">
        <f t="shared" si="81"/>
        <v>0</v>
      </c>
      <c r="AH71" s="5">
        <f t="shared" si="82"/>
        <v>0</v>
      </c>
      <c r="AI71" s="5">
        <f t="shared" si="83"/>
        <v>0</v>
      </c>
      <c r="AJ71" s="5">
        <f t="shared" si="84"/>
        <v>0</v>
      </c>
      <c r="AK71" s="10">
        <f t="shared" si="85"/>
        <v>22500</v>
      </c>
      <c r="AL71" s="10">
        <f t="shared" si="86"/>
        <v>22500</v>
      </c>
    </row>
    <row r="72" spans="1:38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8">
        <f t="shared" si="50"/>
        <v>0</v>
      </c>
      <c r="P72" s="5">
        <f t="shared" si="51"/>
        <v>0</v>
      </c>
      <c r="Q72" s="5">
        <f t="shared" si="52"/>
        <v>0</v>
      </c>
      <c r="R72" s="5">
        <f t="shared" si="53"/>
        <v>0</v>
      </c>
      <c r="S72" s="5">
        <f t="shared" si="54"/>
        <v>0</v>
      </c>
      <c r="T72" s="5">
        <f t="shared" si="55"/>
        <v>0</v>
      </c>
      <c r="U72" s="5">
        <f t="shared" si="56"/>
        <v>0</v>
      </c>
      <c r="V72" s="5">
        <f t="shared" si="57"/>
        <v>0</v>
      </c>
      <c r="W72" s="5">
        <f t="shared" si="58"/>
        <v>0</v>
      </c>
      <c r="X72" s="5">
        <f t="shared" si="59"/>
        <v>0</v>
      </c>
      <c r="Y72" s="5">
        <f t="shared" si="60"/>
        <v>0</v>
      </c>
      <c r="Z72" s="5">
        <f t="shared" si="61"/>
        <v>0</v>
      </c>
      <c r="AA72" s="8">
        <f t="shared" si="75"/>
        <v>0</v>
      </c>
      <c r="AB72" s="5">
        <f t="shared" si="76"/>
        <v>0</v>
      </c>
      <c r="AC72" s="5">
        <f t="shared" si="77"/>
        <v>0</v>
      </c>
      <c r="AD72" s="5">
        <f t="shared" si="78"/>
        <v>0</v>
      </c>
      <c r="AE72" s="5">
        <f t="shared" si="79"/>
        <v>0</v>
      </c>
      <c r="AF72" s="5">
        <f t="shared" si="80"/>
        <v>0</v>
      </c>
      <c r="AG72" s="5">
        <f t="shared" si="81"/>
        <v>0</v>
      </c>
      <c r="AH72" s="5">
        <f t="shared" si="82"/>
        <v>0</v>
      </c>
      <c r="AI72" s="5">
        <f t="shared" si="83"/>
        <v>0</v>
      </c>
      <c r="AJ72" s="5">
        <f t="shared" si="84"/>
        <v>0</v>
      </c>
      <c r="AK72" s="5">
        <f t="shared" si="85"/>
        <v>0</v>
      </c>
      <c r="AL72" s="10">
        <f t="shared" si="86"/>
        <v>22500</v>
      </c>
    </row>
    <row r="73" spans="1:38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8">
        <f t="shared" si="50"/>
        <v>0</v>
      </c>
      <c r="P73" s="5">
        <f t="shared" si="51"/>
        <v>0</v>
      </c>
      <c r="Q73" s="5">
        <f t="shared" si="52"/>
        <v>0</v>
      </c>
      <c r="R73" s="5">
        <f t="shared" si="53"/>
        <v>0</v>
      </c>
      <c r="S73" s="5">
        <f t="shared" si="54"/>
        <v>0</v>
      </c>
      <c r="T73" s="5">
        <f t="shared" si="55"/>
        <v>0</v>
      </c>
      <c r="U73" s="5">
        <f t="shared" si="56"/>
        <v>0</v>
      </c>
      <c r="V73" s="5">
        <f t="shared" si="57"/>
        <v>0</v>
      </c>
      <c r="W73" s="5">
        <f t="shared" si="58"/>
        <v>0</v>
      </c>
      <c r="X73" s="5">
        <f t="shared" si="59"/>
        <v>0</v>
      </c>
      <c r="Y73" s="5">
        <f t="shared" si="60"/>
        <v>0</v>
      </c>
      <c r="Z73" s="5">
        <f t="shared" si="61"/>
        <v>0</v>
      </c>
      <c r="AA73" s="8">
        <f t="shared" si="75"/>
        <v>0</v>
      </c>
      <c r="AB73" s="5">
        <f t="shared" si="76"/>
        <v>0</v>
      </c>
      <c r="AC73" s="5">
        <f t="shared" si="77"/>
        <v>0</v>
      </c>
      <c r="AD73" s="5">
        <f t="shared" si="78"/>
        <v>0</v>
      </c>
      <c r="AE73" s="5">
        <f t="shared" si="79"/>
        <v>0</v>
      </c>
      <c r="AF73" s="5">
        <f t="shared" si="80"/>
        <v>0</v>
      </c>
      <c r="AG73" s="5">
        <f t="shared" si="81"/>
        <v>0</v>
      </c>
      <c r="AH73" s="5">
        <f t="shared" si="82"/>
        <v>0</v>
      </c>
      <c r="AI73" s="5">
        <f t="shared" si="83"/>
        <v>0</v>
      </c>
      <c r="AJ73" s="5">
        <f t="shared" si="84"/>
        <v>0</v>
      </c>
      <c r="AK73" s="5">
        <f t="shared" si="85"/>
        <v>0</v>
      </c>
      <c r="AL73" s="5">
        <f t="shared" si="86"/>
        <v>0</v>
      </c>
    </row>
  </sheetData>
  <mergeCells count="1">
    <mergeCell ref="A20:E2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094FC-2247-4CC7-8EB6-118EE0F01E6E}">
  <dimension ref="A1:AM59"/>
  <sheetViews>
    <sheetView tabSelected="1" topLeftCell="A19" workbookViewId="0">
      <selection activeCell="O30" sqref="O30"/>
    </sheetView>
  </sheetViews>
  <sheetFormatPr defaultRowHeight="15" x14ac:dyDescent="0.25"/>
  <cols>
    <col min="1" max="1" width="26.85546875" customWidth="1"/>
    <col min="2" max="2" width="10.85546875" bestFit="1" customWidth="1"/>
    <col min="3" max="3" width="11.28515625" customWidth="1"/>
    <col min="4" max="4" width="12.5703125" bestFit="1" customWidth="1"/>
    <col min="5" max="8" width="11.5703125" bestFit="1" customWidth="1"/>
    <col min="9" max="11" width="12.28515625" bestFit="1" customWidth="1"/>
    <col min="12" max="37" width="12.5703125" bestFit="1" customWidth="1"/>
  </cols>
  <sheetData>
    <row r="1" spans="1:37" s="18" customFormat="1" x14ac:dyDescent="0.25">
      <c r="A1" s="31" t="s">
        <v>5</v>
      </c>
      <c r="B1" s="31">
        <v>1</v>
      </c>
      <c r="C1" s="31">
        <f>B1+1</f>
        <v>2</v>
      </c>
      <c r="D1" s="31">
        <f t="shared" ref="D1:AK1" si="0">C1+1</f>
        <v>3</v>
      </c>
      <c r="E1" s="31">
        <f t="shared" si="0"/>
        <v>4</v>
      </c>
      <c r="F1" s="31">
        <f t="shared" si="0"/>
        <v>5</v>
      </c>
      <c r="G1" s="31">
        <f t="shared" si="0"/>
        <v>6</v>
      </c>
      <c r="H1" s="31">
        <f t="shared" si="0"/>
        <v>7</v>
      </c>
      <c r="I1" s="31">
        <f t="shared" si="0"/>
        <v>8</v>
      </c>
      <c r="J1" s="31">
        <f t="shared" si="0"/>
        <v>9</v>
      </c>
      <c r="K1" s="31">
        <f t="shared" si="0"/>
        <v>10</v>
      </c>
      <c r="L1" s="31">
        <f t="shared" si="0"/>
        <v>11</v>
      </c>
      <c r="M1" s="31">
        <f t="shared" si="0"/>
        <v>12</v>
      </c>
      <c r="N1" s="31">
        <f t="shared" si="0"/>
        <v>13</v>
      </c>
      <c r="O1" s="31">
        <f t="shared" si="0"/>
        <v>14</v>
      </c>
      <c r="P1" s="31">
        <f t="shared" si="0"/>
        <v>15</v>
      </c>
      <c r="Q1" s="31">
        <f t="shared" si="0"/>
        <v>16</v>
      </c>
      <c r="R1" s="31">
        <f t="shared" si="0"/>
        <v>17</v>
      </c>
      <c r="S1" s="31">
        <f t="shared" si="0"/>
        <v>18</v>
      </c>
      <c r="T1" s="31">
        <f t="shared" si="0"/>
        <v>19</v>
      </c>
      <c r="U1" s="31">
        <f t="shared" si="0"/>
        <v>20</v>
      </c>
      <c r="V1" s="31">
        <f t="shared" si="0"/>
        <v>21</v>
      </c>
      <c r="W1" s="31">
        <f t="shared" si="0"/>
        <v>22</v>
      </c>
      <c r="X1" s="31">
        <f t="shared" si="0"/>
        <v>23</v>
      </c>
      <c r="Y1" s="31">
        <f>X1+1</f>
        <v>24</v>
      </c>
      <c r="Z1" s="31">
        <f t="shared" si="0"/>
        <v>25</v>
      </c>
      <c r="AA1" s="31">
        <f t="shared" si="0"/>
        <v>26</v>
      </c>
      <c r="AB1" s="31">
        <f t="shared" si="0"/>
        <v>27</v>
      </c>
      <c r="AC1" s="31">
        <f t="shared" si="0"/>
        <v>28</v>
      </c>
      <c r="AD1" s="31">
        <f t="shared" si="0"/>
        <v>29</v>
      </c>
      <c r="AE1" s="31">
        <f t="shared" si="0"/>
        <v>30</v>
      </c>
      <c r="AF1" s="31">
        <f t="shared" si="0"/>
        <v>31</v>
      </c>
      <c r="AG1" s="31">
        <f>AF1+1</f>
        <v>32</v>
      </c>
      <c r="AH1" s="31">
        <f t="shared" si="0"/>
        <v>33</v>
      </c>
      <c r="AI1" s="31">
        <f t="shared" si="0"/>
        <v>34</v>
      </c>
      <c r="AJ1" s="31">
        <f t="shared" si="0"/>
        <v>35</v>
      </c>
      <c r="AK1" s="31">
        <f t="shared" si="0"/>
        <v>36</v>
      </c>
    </row>
    <row r="2" spans="1:37" x14ac:dyDescent="0.25">
      <c r="A2" t="s">
        <v>26</v>
      </c>
      <c r="B2">
        <f>'Revenue model'!C2</f>
        <v>0</v>
      </c>
      <c r="C2">
        <f>'Revenue model'!D2</f>
        <v>1</v>
      </c>
      <c r="D2">
        <f>'Revenue model'!E2</f>
        <v>2</v>
      </c>
      <c r="E2">
        <f>'Revenue model'!F2</f>
        <v>2</v>
      </c>
      <c r="F2">
        <f>'Revenue model'!G2</f>
        <v>4</v>
      </c>
      <c r="G2">
        <f>'Revenue model'!H2</f>
        <v>4</v>
      </c>
      <c r="H2">
        <f>'Revenue model'!I2</f>
        <v>5</v>
      </c>
      <c r="I2">
        <f>'Revenue model'!J2</f>
        <v>5</v>
      </c>
      <c r="J2">
        <f>'Revenue model'!K2</f>
        <v>6</v>
      </c>
      <c r="K2">
        <f>'Revenue model'!L2</f>
        <v>6</v>
      </c>
      <c r="L2">
        <f>'Revenue model'!M2</f>
        <v>8</v>
      </c>
      <c r="M2">
        <f>'Revenue model'!N2</f>
        <v>8</v>
      </c>
      <c r="N2">
        <f>'Revenue model'!O2</f>
        <v>8</v>
      </c>
      <c r="O2">
        <f>'Revenue model'!P2</f>
        <v>8</v>
      </c>
      <c r="P2">
        <f>'Revenue model'!Q2</f>
        <v>10</v>
      </c>
      <c r="Q2">
        <f>'Revenue model'!R2</f>
        <v>10</v>
      </c>
      <c r="R2">
        <f>'Revenue model'!S2</f>
        <v>10</v>
      </c>
      <c r="S2">
        <f>'Revenue model'!T2</f>
        <v>10</v>
      </c>
      <c r="T2">
        <f>'Revenue model'!U2</f>
        <v>10</v>
      </c>
      <c r="U2">
        <f>'Revenue model'!V2</f>
        <v>10</v>
      </c>
      <c r="V2">
        <f>'Revenue model'!W2</f>
        <v>10</v>
      </c>
      <c r="W2">
        <f>'Revenue model'!X2</f>
        <v>10</v>
      </c>
      <c r="X2">
        <f>'Revenue model'!Y2</f>
        <v>10</v>
      </c>
      <c r="Y2">
        <f>'Revenue model'!Z2</f>
        <v>10</v>
      </c>
      <c r="Z2">
        <f>'Revenue model'!AA2</f>
        <v>12</v>
      </c>
      <c r="AA2">
        <f>'Revenue model'!AB2</f>
        <v>12</v>
      </c>
      <c r="AB2">
        <f>'Revenue model'!AC2</f>
        <v>12</v>
      </c>
      <c r="AC2">
        <f>'Revenue model'!AD2</f>
        <v>12</v>
      </c>
      <c r="AD2">
        <f>'Revenue model'!AE2</f>
        <v>15</v>
      </c>
      <c r="AE2">
        <f>'Revenue model'!AF2</f>
        <v>15</v>
      </c>
      <c r="AF2">
        <f>'Revenue model'!AG2</f>
        <v>15</v>
      </c>
      <c r="AG2">
        <f>'Revenue model'!AH2</f>
        <v>15</v>
      </c>
      <c r="AH2">
        <f>'Revenue model'!AI2</f>
        <v>20</v>
      </c>
      <c r="AI2">
        <f>'Revenue model'!AJ2</f>
        <v>20</v>
      </c>
      <c r="AJ2">
        <f>'Revenue model'!AK2</f>
        <v>20</v>
      </c>
      <c r="AK2">
        <f>'Revenue model'!AL2</f>
        <v>20</v>
      </c>
    </row>
    <row r="3" spans="1:37" x14ac:dyDescent="0.25">
      <c r="A3" t="s">
        <v>32</v>
      </c>
      <c r="B3">
        <f>B2</f>
        <v>0</v>
      </c>
      <c r="C3">
        <f>C2+B3</f>
        <v>1</v>
      </c>
      <c r="D3">
        <f t="shared" ref="D3:AK3" si="1">D2+C3</f>
        <v>3</v>
      </c>
      <c r="E3">
        <f t="shared" si="1"/>
        <v>5</v>
      </c>
      <c r="F3">
        <f t="shared" si="1"/>
        <v>9</v>
      </c>
      <c r="G3">
        <f t="shared" si="1"/>
        <v>13</v>
      </c>
      <c r="H3">
        <f t="shared" si="1"/>
        <v>18</v>
      </c>
      <c r="I3">
        <f t="shared" si="1"/>
        <v>23</v>
      </c>
      <c r="J3">
        <f t="shared" si="1"/>
        <v>29</v>
      </c>
      <c r="K3">
        <f t="shared" si="1"/>
        <v>35</v>
      </c>
      <c r="L3">
        <f t="shared" si="1"/>
        <v>43</v>
      </c>
      <c r="M3">
        <f t="shared" si="1"/>
        <v>51</v>
      </c>
      <c r="N3">
        <f t="shared" si="1"/>
        <v>59</v>
      </c>
      <c r="O3">
        <f t="shared" si="1"/>
        <v>67</v>
      </c>
      <c r="P3">
        <f t="shared" si="1"/>
        <v>77</v>
      </c>
      <c r="Q3">
        <f t="shared" si="1"/>
        <v>87</v>
      </c>
      <c r="R3">
        <f t="shared" si="1"/>
        <v>97</v>
      </c>
      <c r="S3">
        <f t="shared" si="1"/>
        <v>107</v>
      </c>
      <c r="T3">
        <f t="shared" si="1"/>
        <v>117</v>
      </c>
      <c r="U3">
        <f t="shared" si="1"/>
        <v>127</v>
      </c>
      <c r="V3">
        <f t="shared" si="1"/>
        <v>137</v>
      </c>
      <c r="W3">
        <f t="shared" si="1"/>
        <v>147</v>
      </c>
      <c r="X3">
        <f t="shared" si="1"/>
        <v>157</v>
      </c>
      <c r="Y3">
        <f t="shared" si="1"/>
        <v>167</v>
      </c>
      <c r="Z3">
        <f t="shared" si="1"/>
        <v>179</v>
      </c>
      <c r="AA3">
        <f t="shared" si="1"/>
        <v>191</v>
      </c>
      <c r="AB3">
        <f t="shared" si="1"/>
        <v>203</v>
      </c>
      <c r="AC3">
        <f t="shared" si="1"/>
        <v>215</v>
      </c>
      <c r="AD3">
        <f t="shared" si="1"/>
        <v>230</v>
      </c>
      <c r="AE3">
        <f t="shared" si="1"/>
        <v>245</v>
      </c>
      <c r="AF3">
        <f t="shared" si="1"/>
        <v>260</v>
      </c>
      <c r="AG3">
        <f t="shared" si="1"/>
        <v>275</v>
      </c>
      <c r="AH3">
        <f t="shared" si="1"/>
        <v>295</v>
      </c>
      <c r="AI3">
        <f t="shared" si="1"/>
        <v>315</v>
      </c>
      <c r="AJ3">
        <f t="shared" si="1"/>
        <v>335</v>
      </c>
      <c r="AK3">
        <f t="shared" si="1"/>
        <v>355</v>
      </c>
    </row>
    <row r="4" spans="1:37" x14ac:dyDescent="0.25">
      <c r="A4" t="s">
        <v>6</v>
      </c>
      <c r="B4" s="1">
        <f>'Revenue model'!C3</f>
        <v>0</v>
      </c>
      <c r="C4" s="1">
        <f>'Revenue model'!D3</f>
        <v>30000</v>
      </c>
      <c r="D4" s="1">
        <f>'Revenue model'!E3</f>
        <v>60000</v>
      </c>
      <c r="E4" s="1">
        <f>'Revenue model'!F3</f>
        <v>60000</v>
      </c>
      <c r="F4" s="1">
        <f>'Revenue model'!G3</f>
        <v>120000</v>
      </c>
      <c r="G4" s="1">
        <f>'Revenue model'!H3</f>
        <v>120000</v>
      </c>
      <c r="H4" s="1">
        <f>'Revenue model'!I3</f>
        <v>150000</v>
      </c>
      <c r="I4" s="1">
        <f>'Revenue model'!J3</f>
        <v>150000</v>
      </c>
      <c r="J4" s="1">
        <f>'Revenue model'!K3</f>
        <v>180000</v>
      </c>
      <c r="K4" s="1">
        <f>'Revenue model'!L3</f>
        <v>180000</v>
      </c>
      <c r="L4" s="1">
        <f>'Revenue model'!M3</f>
        <v>240000</v>
      </c>
      <c r="M4" s="1">
        <f>'Revenue model'!N3</f>
        <v>240000</v>
      </c>
      <c r="N4" s="1">
        <f>'Revenue model'!O3</f>
        <v>240000</v>
      </c>
      <c r="O4" s="1">
        <f>'Revenue model'!P3</f>
        <v>240000</v>
      </c>
      <c r="P4" s="1">
        <f>'Revenue model'!Q3</f>
        <v>300000</v>
      </c>
      <c r="Q4" s="1">
        <f>'Revenue model'!R3</f>
        <v>300000</v>
      </c>
      <c r="R4" s="1">
        <f>'Revenue model'!S3</f>
        <v>300000</v>
      </c>
      <c r="S4" s="1">
        <f>'Revenue model'!T3</f>
        <v>300000</v>
      </c>
      <c r="T4" s="1">
        <f>'Revenue model'!U3</f>
        <v>300000</v>
      </c>
      <c r="U4" s="1">
        <f>'Revenue model'!V3</f>
        <v>300000</v>
      </c>
      <c r="V4" s="1">
        <f>'Revenue model'!W3</f>
        <v>300000</v>
      </c>
      <c r="W4" s="1">
        <f>'Revenue model'!X3</f>
        <v>300000</v>
      </c>
      <c r="X4" s="1">
        <f>'Revenue model'!Y3</f>
        <v>300000</v>
      </c>
      <c r="Y4" s="1">
        <f>'Revenue model'!Z3</f>
        <v>300000</v>
      </c>
      <c r="Z4" s="1">
        <f>'Revenue model'!AA3</f>
        <v>360000</v>
      </c>
      <c r="AA4" s="1">
        <f>'Revenue model'!AB3</f>
        <v>360000</v>
      </c>
      <c r="AB4" s="1">
        <f>'Revenue model'!AC3</f>
        <v>360000</v>
      </c>
      <c r="AC4" s="1">
        <f>'Revenue model'!AD3</f>
        <v>360000</v>
      </c>
      <c r="AD4" s="1">
        <f>'Revenue model'!AE3</f>
        <v>450000</v>
      </c>
      <c r="AE4" s="1">
        <f>'Revenue model'!AF3</f>
        <v>450000</v>
      </c>
      <c r="AF4" s="1">
        <f>'Revenue model'!AG3</f>
        <v>450000</v>
      </c>
      <c r="AG4" s="1">
        <f>'Revenue model'!AH3</f>
        <v>450000</v>
      </c>
      <c r="AH4" s="1">
        <f>'Revenue model'!AI3</f>
        <v>600000</v>
      </c>
      <c r="AI4" s="1">
        <f>'Revenue model'!AJ3</f>
        <v>600000</v>
      </c>
      <c r="AJ4" s="1">
        <f>'Revenue model'!AK3</f>
        <v>600000</v>
      </c>
      <c r="AK4" s="1">
        <f>'Revenue model'!AL3</f>
        <v>600000</v>
      </c>
    </row>
    <row r="5" spans="1:37" x14ac:dyDescent="0.25">
      <c r="A5" t="s">
        <v>40</v>
      </c>
      <c r="B5" s="22">
        <f>'Revenue model'!C9-'Revenue model'!C8</f>
        <v>0</v>
      </c>
      <c r="C5" s="22">
        <f>'Revenue model'!D9-'Revenue model'!D8</f>
        <v>2500</v>
      </c>
      <c r="D5" s="22">
        <f>'Revenue model'!E9-'Revenue model'!E8</f>
        <v>7500</v>
      </c>
      <c r="E5" s="22">
        <f>'Revenue model'!F9-'Revenue model'!F8</f>
        <v>12500</v>
      </c>
      <c r="F5" s="22">
        <f>'Revenue model'!G9-'Revenue model'!G8</f>
        <v>22500</v>
      </c>
      <c r="G5" s="22">
        <f>'Revenue model'!H9-'Revenue model'!H8</f>
        <v>32500</v>
      </c>
      <c r="H5" s="22">
        <f>'Revenue model'!I9-'Revenue model'!I8</f>
        <v>45000</v>
      </c>
      <c r="I5" s="22">
        <f>'Revenue model'!J9-'Revenue model'!J8</f>
        <v>57500</v>
      </c>
      <c r="J5" s="22">
        <f>'Revenue model'!K9-'Revenue model'!K8</f>
        <v>72500</v>
      </c>
      <c r="K5" s="22">
        <f>'Revenue model'!L9-'Revenue model'!L8</f>
        <v>87500</v>
      </c>
      <c r="L5" s="22">
        <f>'Revenue model'!M9-'Revenue model'!M8</f>
        <v>107500</v>
      </c>
      <c r="M5" s="22">
        <f>'Revenue model'!N9-'Revenue model'!N8</f>
        <v>127500</v>
      </c>
      <c r="N5" s="22">
        <f>'Revenue model'!O9-'Revenue model'!O8</f>
        <v>147500</v>
      </c>
      <c r="O5" s="22">
        <f>'Revenue model'!P9-'Revenue model'!P8</f>
        <v>167000</v>
      </c>
      <c r="P5" s="22">
        <f>'Revenue model'!Q9-'Revenue model'!Q8</f>
        <v>191000</v>
      </c>
      <c r="Q5" s="22">
        <f>'Revenue model'!R9-'Revenue model'!R8</f>
        <v>215000</v>
      </c>
      <c r="R5" s="22">
        <f>'Revenue model'!S9-'Revenue model'!S8</f>
        <v>238000</v>
      </c>
      <c r="S5" s="22">
        <f>'Revenue model'!T9-'Revenue model'!T8</f>
        <v>261000</v>
      </c>
      <c r="T5" s="22">
        <f>'Revenue model'!U9-'Revenue model'!U8</f>
        <v>283500</v>
      </c>
      <c r="U5" s="22">
        <f>'Revenue model'!V9-'Revenue model'!V8</f>
        <v>306000</v>
      </c>
      <c r="V5" s="22">
        <f>'Revenue model'!W9-'Revenue model'!W8</f>
        <v>328000</v>
      </c>
      <c r="W5" s="22">
        <f>'Revenue model'!X9-'Revenue model'!X8</f>
        <v>350000</v>
      </c>
      <c r="X5" s="22">
        <f>'Revenue model'!Y9-'Revenue model'!Y8</f>
        <v>371000</v>
      </c>
      <c r="Y5" s="22">
        <f>'Revenue model'!Z9-'Revenue model'!Z8</f>
        <v>392000</v>
      </c>
      <c r="Z5" s="22">
        <f>'Revenue model'!AA9-'Revenue model'!AA8</f>
        <v>420000</v>
      </c>
      <c r="AA5" s="22">
        <f>'Revenue model'!AB9-'Revenue model'!AB8</f>
        <v>447800</v>
      </c>
      <c r="AB5" s="22">
        <f>'Revenue model'!AC9-'Revenue model'!AC8</f>
        <v>474900</v>
      </c>
      <c r="AC5" s="22">
        <f>'Revenue model'!AD9-'Revenue model'!AD8</f>
        <v>502000</v>
      </c>
      <c r="AD5" s="22">
        <f>'Revenue model'!AE9-'Revenue model'!AE8</f>
        <v>536200</v>
      </c>
      <c r="AE5" s="22">
        <f>'Revenue model'!AF9-'Revenue model'!AF8</f>
        <v>570400</v>
      </c>
      <c r="AF5" s="22">
        <f>'Revenue model'!AG9-'Revenue model'!AG8</f>
        <v>604400</v>
      </c>
      <c r="AG5" s="22">
        <f>'Revenue model'!AH9-'Revenue model'!AH8</f>
        <v>638400</v>
      </c>
      <c r="AH5" s="22">
        <f>'Revenue model'!AI9-'Revenue model'!AI8</f>
        <v>684700</v>
      </c>
      <c r="AI5" s="22">
        <f>'Revenue model'!AJ9-'Revenue model'!AJ8</f>
        <v>731000</v>
      </c>
      <c r="AJ5" s="22">
        <f>'Revenue model'!AK9-'Revenue model'!AK8</f>
        <v>776900</v>
      </c>
      <c r="AK5" s="22">
        <f>'Revenue model'!AL9-'Revenue model'!AL8</f>
        <v>822800</v>
      </c>
    </row>
    <row r="6" spans="1:37" x14ac:dyDescent="0.25">
      <c r="A6" t="s">
        <v>41</v>
      </c>
      <c r="B6" s="1">
        <f>'Revenue model'!C8</f>
        <v>0</v>
      </c>
      <c r="C6" s="1">
        <f>'Revenue model'!D8</f>
        <v>9000</v>
      </c>
      <c r="D6" s="1">
        <f>'Revenue model'!E8</f>
        <v>18000</v>
      </c>
      <c r="E6" s="1">
        <f>'Revenue model'!F8</f>
        <v>18000</v>
      </c>
      <c r="F6" s="1">
        <f>'Revenue model'!G8</f>
        <v>36000</v>
      </c>
      <c r="G6" s="1">
        <f>'Revenue model'!H8</f>
        <v>36000</v>
      </c>
      <c r="H6" s="1">
        <f>'Revenue model'!I8</f>
        <v>45000</v>
      </c>
      <c r="I6" s="1">
        <f>'Revenue model'!J8</f>
        <v>45000</v>
      </c>
      <c r="J6" s="1">
        <f>'Revenue model'!K8</f>
        <v>54000</v>
      </c>
      <c r="K6" s="1">
        <f>'Revenue model'!L8</f>
        <v>54000</v>
      </c>
      <c r="L6" s="1">
        <f>'Revenue model'!M8</f>
        <v>72000</v>
      </c>
      <c r="M6" s="1">
        <f>'Revenue model'!N8</f>
        <v>72000</v>
      </c>
      <c r="N6" s="1">
        <f>'Revenue model'!O8</f>
        <v>72000</v>
      </c>
      <c r="O6" s="1">
        <f>'Revenue model'!P8</f>
        <v>72000</v>
      </c>
      <c r="P6" s="1">
        <f>'Revenue model'!Q8</f>
        <v>90000</v>
      </c>
      <c r="Q6" s="1">
        <f>'Revenue model'!R8</f>
        <v>90000</v>
      </c>
      <c r="R6" s="1">
        <f>'Revenue model'!S8</f>
        <v>90000</v>
      </c>
      <c r="S6" s="1">
        <f>'Revenue model'!T8</f>
        <v>90000</v>
      </c>
      <c r="T6" s="1">
        <f>'Revenue model'!U8</f>
        <v>90000</v>
      </c>
      <c r="U6" s="1">
        <f>'Revenue model'!V8</f>
        <v>90000</v>
      </c>
      <c r="V6" s="1">
        <f>'Revenue model'!W8</f>
        <v>90000</v>
      </c>
      <c r="W6" s="1">
        <f>'Revenue model'!X8</f>
        <v>90000</v>
      </c>
      <c r="X6" s="1">
        <f>'Revenue model'!Y8</f>
        <v>90000</v>
      </c>
      <c r="Y6" s="1">
        <f>'Revenue model'!Z8</f>
        <v>90000</v>
      </c>
      <c r="Z6" s="1">
        <f>'Revenue model'!AA8</f>
        <v>108000</v>
      </c>
      <c r="AA6" s="1">
        <f>'Revenue model'!AB8</f>
        <v>108000</v>
      </c>
      <c r="AB6" s="1">
        <f>'Revenue model'!AC8</f>
        <v>108000</v>
      </c>
      <c r="AC6" s="1">
        <f>'Revenue model'!AD8</f>
        <v>108000</v>
      </c>
      <c r="AD6" s="1">
        <f>'Revenue model'!AE8</f>
        <v>135000</v>
      </c>
      <c r="AE6" s="1">
        <f>'Revenue model'!AF8</f>
        <v>135000</v>
      </c>
      <c r="AF6" s="1">
        <f>'Revenue model'!AG8</f>
        <v>135000</v>
      </c>
      <c r="AG6" s="1">
        <f>'Revenue model'!AH8</f>
        <v>135000</v>
      </c>
      <c r="AH6" s="1">
        <f>'Revenue model'!AI8</f>
        <v>180000</v>
      </c>
      <c r="AI6" s="1">
        <f>'Revenue model'!AJ8</f>
        <v>180000</v>
      </c>
      <c r="AJ6" s="1">
        <f>'Revenue model'!AK8</f>
        <v>180000</v>
      </c>
      <c r="AK6" s="1">
        <f>'Revenue model'!AL8</f>
        <v>180000</v>
      </c>
    </row>
    <row r="7" spans="1:37" x14ac:dyDescent="0.25">
      <c r="A7" t="s">
        <v>33</v>
      </c>
      <c r="B7" s="1">
        <f t="shared" ref="B7:AJ7" si="2">$B35*C4</f>
        <v>4500</v>
      </c>
      <c r="C7" s="1">
        <f t="shared" si="2"/>
        <v>9000</v>
      </c>
      <c r="D7" s="1">
        <f t="shared" si="2"/>
        <v>9000</v>
      </c>
      <c r="E7" s="1">
        <f t="shared" si="2"/>
        <v>18000</v>
      </c>
      <c r="F7" s="1">
        <f t="shared" si="2"/>
        <v>18000</v>
      </c>
      <c r="G7" s="1">
        <f t="shared" si="2"/>
        <v>22500</v>
      </c>
      <c r="H7" s="1">
        <f t="shared" si="2"/>
        <v>22500</v>
      </c>
      <c r="I7" s="1">
        <f t="shared" si="2"/>
        <v>27000</v>
      </c>
      <c r="J7" s="1">
        <f t="shared" si="2"/>
        <v>27000</v>
      </c>
      <c r="K7" s="1">
        <f t="shared" si="2"/>
        <v>36000</v>
      </c>
      <c r="L7" s="1">
        <f t="shared" si="2"/>
        <v>36000</v>
      </c>
      <c r="M7" s="1">
        <f t="shared" si="2"/>
        <v>36000</v>
      </c>
      <c r="N7" s="1">
        <f t="shared" si="2"/>
        <v>36000</v>
      </c>
      <c r="O7" s="1">
        <f t="shared" si="2"/>
        <v>45000</v>
      </c>
      <c r="P7" s="1">
        <f t="shared" si="2"/>
        <v>45000</v>
      </c>
      <c r="Q7" s="1">
        <f t="shared" si="2"/>
        <v>45000</v>
      </c>
      <c r="R7" s="1">
        <f t="shared" si="2"/>
        <v>45000</v>
      </c>
      <c r="S7" s="1">
        <f t="shared" si="2"/>
        <v>45000</v>
      </c>
      <c r="T7" s="1">
        <f t="shared" si="2"/>
        <v>45000</v>
      </c>
      <c r="U7" s="1">
        <f t="shared" si="2"/>
        <v>45000</v>
      </c>
      <c r="V7" s="1">
        <f t="shared" si="2"/>
        <v>45000</v>
      </c>
      <c r="W7" s="1">
        <f t="shared" si="2"/>
        <v>45000</v>
      </c>
      <c r="X7" s="1">
        <f t="shared" si="2"/>
        <v>45000</v>
      </c>
      <c r="Y7" s="1">
        <f t="shared" si="2"/>
        <v>54000</v>
      </c>
      <c r="Z7" s="1">
        <f t="shared" si="2"/>
        <v>54000</v>
      </c>
      <c r="AA7" s="1">
        <f t="shared" si="2"/>
        <v>54000</v>
      </c>
      <c r="AB7" s="1">
        <f t="shared" si="2"/>
        <v>54000</v>
      </c>
      <c r="AC7" s="1">
        <f t="shared" si="2"/>
        <v>67500</v>
      </c>
      <c r="AD7" s="1">
        <f t="shared" si="2"/>
        <v>67500</v>
      </c>
      <c r="AE7" s="1">
        <f t="shared" si="2"/>
        <v>67500</v>
      </c>
      <c r="AF7" s="1">
        <f t="shared" si="2"/>
        <v>67500</v>
      </c>
      <c r="AG7" s="1">
        <f t="shared" si="2"/>
        <v>90000</v>
      </c>
      <c r="AH7" s="1">
        <f t="shared" si="2"/>
        <v>90000</v>
      </c>
      <c r="AI7" s="1">
        <f t="shared" si="2"/>
        <v>90000</v>
      </c>
      <c r="AJ7" s="1">
        <f t="shared" si="2"/>
        <v>90000</v>
      </c>
      <c r="AK7" s="1">
        <f>$B35*AK4</f>
        <v>90000</v>
      </c>
    </row>
    <row r="8" spans="1:37" x14ac:dyDescent="0.25">
      <c r="A8" t="s">
        <v>34</v>
      </c>
      <c r="B8" s="1">
        <f>$B33*B4</f>
        <v>0</v>
      </c>
      <c r="C8" s="1">
        <f t="shared" ref="C8:AK8" si="3">$B33*C4</f>
        <v>4500</v>
      </c>
      <c r="D8" s="1">
        <f t="shared" si="3"/>
        <v>9000</v>
      </c>
      <c r="E8" s="1">
        <f t="shared" si="3"/>
        <v>9000</v>
      </c>
      <c r="F8" s="1">
        <f t="shared" si="3"/>
        <v>18000</v>
      </c>
      <c r="G8" s="1">
        <f t="shared" si="3"/>
        <v>18000</v>
      </c>
      <c r="H8" s="1">
        <f t="shared" si="3"/>
        <v>22500</v>
      </c>
      <c r="I8" s="1">
        <f t="shared" si="3"/>
        <v>22500</v>
      </c>
      <c r="J8" s="1">
        <f t="shared" si="3"/>
        <v>27000</v>
      </c>
      <c r="K8" s="1">
        <f t="shared" si="3"/>
        <v>27000</v>
      </c>
      <c r="L8" s="1">
        <f t="shared" si="3"/>
        <v>36000</v>
      </c>
      <c r="M8" s="1">
        <f t="shared" si="3"/>
        <v>36000</v>
      </c>
      <c r="N8" s="1">
        <f t="shared" si="3"/>
        <v>36000</v>
      </c>
      <c r="O8" s="1">
        <f t="shared" si="3"/>
        <v>36000</v>
      </c>
      <c r="P8" s="1">
        <f t="shared" si="3"/>
        <v>45000</v>
      </c>
      <c r="Q8" s="1">
        <f t="shared" si="3"/>
        <v>45000</v>
      </c>
      <c r="R8" s="1">
        <f t="shared" si="3"/>
        <v>45000</v>
      </c>
      <c r="S8" s="1">
        <f t="shared" si="3"/>
        <v>45000</v>
      </c>
      <c r="T8" s="1">
        <f t="shared" si="3"/>
        <v>45000</v>
      </c>
      <c r="U8" s="1">
        <f t="shared" si="3"/>
        <v>45000</v>
      </c>
      <c r="V8" s="1">
        <f t="shared" si="3"/>
        <v>45000</v>
      </c>
      <c r="W8" s="1">
        <f t="shared" si="3"/>
        <v>45000</v>
      </c>
      <c r="X8" s="1">
        <f t="shared" si="3"/>
        <v>45000</v>
      </c>
      <c r="Y8" s="1">
        <f t="shared" si="3"/>
        <v>45000</v>
      </c>
      <c r="Z8" s="1">
        <f t="shared" si="3"/>
        <v>54000</v>
      </c>
      <c r="AA8" s="1">
        <f t="shared" si="3"/>
        <v>54000</v>
      </c>
      <c r="AB8" s="1">
        <f t="shared" si="3"/>
        <v>54000</v>
      </c>
      <c r="AC8" s="1">
        <f t="shared" si="3"/>
        <v>54000</v>
      </c>
      <c r="AD8" s="1">
        <f t="shared" si="3"/>
        <v>67500</v>
      </c>
      <c r="AE8" s="1">
        <f t="shared" si="3"/>
        <v>67500</v>
      </c>
      <c r="AF8" s="1">
        <f t="shared" si="3"/>
        <v>67500</v>
      </c>
      <c r="AG8" s="1">
        <f t="shared" si="3"/>
        <v>67500</v>
      </c>
      <c r="AH8" s="1">
        <f t="shared" si="3"/>
        <v>90000</v>
      </c>
      <c r="AI8" s="1">
        <f t="shared" si="3"/>
        <v>90000</v>
      </c>
      <c r="AJ8" s="1">
        <f t="shared" si="3"/>
        <v>90000</v>
      </c>
      <c r="AK8" s="1">
        <f t="shared" si="3"/>
        <v>90000</v>
      </c>
    </row>
    <row r="10" spans="1:37" x14ac:dyDescent="0.25">
      <c r="A10" t="s">
        <v>35</v>
      </c>
      <c r="B10">
        <f>D4*$B43/$B32</f>
        <v>0.45</v>
      </c>
      <c r="C10">
        <f t="shared" ref="B10:AI10" si="4">E4*$B43/$B32</f>
        <v>0.45</v>
      </c>
      <c r="D10">
        <f t="shared" si="4"/>
        <v>0.9</v>
      </c>
      <c r="E10">
        <f t="shared" si="4"/>
        <v>0.9</v>
      </c>
      <c r="F10">
        <f t="shared" si="4"/>
        <v>1.125</v>
      </c>
      <c r="G10">
        <f t="shared" si="4"/>
        <v>1.125</v>
      </c>
      <c r="H10">
        <f t="shared" si="4"/>
        <v>1.35</v>
      </c>
      <c r="I10">
        <f t="shared" si="4"/>
        <v>1.35</v>
      </c>
      <c r="J10">
        <f t="shared" si="4"/>
        <v>1.8</v>
      </c>
      <c r="K10">
        <f t="shared" si="4"/>
        <v>1.8</v>
      </c>
      <c r="L10">
        <f t="shared" si="4"/>
        <v>1.8</v>
      </c>
      <c r="M10">
        <f t="shared" si="4"/>
        <v>1.8</v>
      </c>
      <c r="N10">
        <f t="shared" si="4"/>
        <v>2.25</v>
      </c>
      <c r="O10">
        <f t="shared" si="4"/>
        <v>2.25</v>
      </c>
      <c r="P10">
        <f t="shared" si="4"/>
        <v>2.25</v>
      </c>
      <c r="Q10">
        <f t="shared" si="4"/>
        <v>2.25</v>
      </c>
      <c r="R10">
        <f t="shared" si="4"/>
        <v>2.25</v>
      </c>
      <c r="S10">
        <f t="shared" si="4"/>
        <v>2.25</v>
      </c>
      <c r="T10">
        <f t="shared" si="4"/>
        <v>2.25</v>
      </c>
      <c r="U10">
        <f t="shared" si="4"/>
        <v>2.25</v>
      </c>
      <c r="V10">
        <f t="shared" si="4"/>
        <v>2.25</v>
      </c>
      <c r="W10">
        <f t="shared" si="4"/>
        <v>2.25</v>
      </c>
      <c r="X10">
        <f t="shared" si="4"/>
        <v>2.7</v>
      </c>
      <c r="Y10">
        <f t="shared" si="4"/>
        <v>2.7</v>
      </c>
      <c r="Z10">
        <f t="shared" si="4"/>
        <v>2.7</v>
      </c>
      <c r="AA10">
        <f t="shared" si="4"/>
        <v>2.7</v>
      </c>
      <c r="AB10">
        <f t="shared" si="4"/>
        <v>3.375</v>
      </c>
      <c r="AC10">
        <f t="shared" si="4"/>
        <v>3.375</v>
      </c>
      <c r="AD10">
        <f t="shared" si="4"/>
        <v>3.375</v>
      </c>
      <c r="AE10">
        <f t="shared" si="4"/>
        <v>3.375</v>
      </c>
      <c r="AF10">
        <f t="shared" si="4"/>
        <v>4.5</v>
      </c>
      <c r="AG10">
        <f t="shared" si="4"/>
        <v>4.5</v>
      </c>
      <c r="AH10">
        <f t="shared" si="4"/>
        <v>4.5</v>
      </c>
      <c r="AI10">
        <f t="shared" si="4"/>
        <v>4.5</v>
      </c>
      <c r="AJ10">
        <f>AI10+0.5</f>
        <v>5</v>
      </c>
      <c r="AK10">
        <f>AJ10+0.5</f>
        <v>5.5</v>
      </c>
    </row>
    <row r="11" spans="1:37" x14ac:dyDescent="0.25">
      <c r="A11" t="s">
        <v>8</v>
      </c>
      <c r="B11">
        <f t="shared" ref="B11:AK11" si="5">B10*$B34</f>
        <v>4.5000000000000005E-2</v>
      </c>
      <c r="C11">
        <f t="shared" si="5"/>
        <v>4.5000000000000005E-2</v>
      </c>
      <c r="D11">
        <f t="shared" si="5"/>
        <v>9.0000000000000011E-2</v>
      </c>
      <c r="E11">
        <f t="shared" si="5"/>
        <v>9.0000000000000011E-2</v>
      </c>
      <c r="F11">
        <f t="shared" si="5"/>
        <v>0.1125</v>
      </c>
      <c r="G11">
        <f t="shared" si="5"/>
        <v>0.1125</v>
      </c>
      <c r="H11">
        <f t="shared" si="5"/>
        <v>0.13500000000000001</v>
      </c>
      <c r="I11">
        <f t="shared" si="5"/>
        <v>0.13500000000000001</v>
      </c>
      <c r="J11">
        <f t="shared" si="5"/>
        <v>0.18000000000000002</v>
      </c>
      <c r="K11">
        <f t="shared" si="5"/>
        <v>0.18000000000000002</v>
      </c>
      <c r="L11">
        <f t="shared" si="5"/>
        <v>0.18000000000000002</v>
      </c>
      <c r="M11">
        <f t="shared" si="5"/>
        <v>0.18000000000000002</v>
      </c>
      <c r="N11">
        <f t="shared" si="5"/>
        <v>0.22500000000000001</v>
      </c>
      <c r="O11">
        <f t="shared" si="5"/>
        <v>0.22500000000000001</v>
      </c>
      <c r="P11">
        <f t="shared" si="5"/>
        <v>0.22500000000000001</v>
      </c>
      <c r="Q11">
        <f t="shared" si="5"/>
        <v>0.22500000000000001</v>
      </c>
      <c r="R11">
        <f t="shared" si="5"/>
        <v>0.22500000000000001</v>
      </c>
      <c r="S11">
        <f t="shared" si="5"/>
        <v>0.22500000000000001</v>
      </c>
      <c r="T11">
        <f t="shared" si="5"/>
        <v>0.22500000000000001</v>
      </c>
      <c r="U11">
        <f t="shared" si="5"/>
        <v>0.22500000000000001</v>
      </c>
      <c r="V11">
        <f t="shared" si="5"/>
        <v>0.22500000000000001</v>
      </c>
      <c r="W11">
        <f t="shared" si="5"/>
        <v>0.22500000000000001</v>
      </c>
      <c r="X11">
        <f t="shared" si="5"/>
        <v>0.27</v>
      </c>
      <c r="Y11">
        <f t="shared" si="5"/>
        <v>0.27</v>
      </c>
      <c r="Z11">
        <f t="shared" si="5"/>
        <v>0.27</v>
      </c>
      <c r="AA11">
        <f t="shared" si="5"/>
        <v>0.27</v>
      </c>
      <c r="AB11">
        <f t="shared" si="5"/>
        <v>0.33750000000000002</v>
      </c>
      <c r="AC11">
        <f t="shared" si="5"/>
        <v>0.33750000000000002</v>
      </c>
      <c r="AD11">
        <f t="shared" si="5"/>
        <v>0.33750000000000002</v>
      </c>
      <c r="AE11">
        <f t="shared" si="5"/>
        <v>0.33750000000000002</v>
      </c>
      <c r="AF11">
        <f t="shared" si="5"/>
        <v>0.45</v>
      </c>
      <c r="AG11">
        <f t="shared" si="5"/>
        <v>0.45</v>
      </c>
      <c r="AH11">
        <f t="shared" si="5"/>
        <v>0.45</v>
      </c>
      <c r="AI11">
        <f t="shared" si="5"/>
        <v>0.45</v>
      </c>
      <c r="AJ11">
        <f t="shared" si="5"/>
        <v>0.5</v>
      </c>
      <c r="AK11">
        <f t="shared" si="5"/>
        <v>0.55000000000000004</v>
      </c>
    </row>
    <row r="12" spans="1:37" x14ac:dyDescent="0.25">
      <c r="A12" t="s">
        <v>36</v>
      </c>
      <c r="B12">
        <f>$B29*$B41*B5/$B26</f>
        <v>0</v>
      </c>
      <c r="C12">
        <f t="shared" ref="C12:AK12" si="6">$B29*$B41*C5/$B26</f>
        <v>1.4999999999999999E-2</v>
      </c>
      <c r="D12">
        <f t="shared" si="6"/>
        <v>4.4999999999999998E-2</v>
      </c>
      <c r="E12">
        <f t="shared" si="6"/>
        <v>7.4999999999999997E-2</v>
      </c>
      <c r="F12">
        <f t="shared" si="6"/>
        <v>0.13500000000000001</v>
      </c>
      <c r="G12">
        <f t="shared" si="6"/>
        <v>0.19500000000000001</v>
      </c>
      <c r="H12">
        <f t="shared" si="6"/>
        <v>0.27</v>
      </c>
      <c r="I12">
        <f t="shared" si="6"/>
        <v>0.34499999999999997</v>
      </c>
      <c r="J12">
        <f t="shared" si="6"/>
        <v>0.435</v>
      </c>
      <c r="K12">
        <f t="shared" si="6"/>
        <v>0.52500000000000002</v>
      </c>
      <c r="L12">
        <f t="shared" si="6"/>
        <v>0.64500000000000002</v>
      </c>
      <c r="M12">
        <f t="shared" si="6"/>
        <v>0.76500000000000001</v>
      </c>
      <c r="N12">
        <f t="shared" si="6"/>
        <v>0.88500000000000001</v>
      </c>
      <c r="O12">
        <f t="shared" si="6"/>
        <v>1.002</v>
      </c>
      <c r="P12">
        <f t="shared" si="6"/>
        <v>1.1459999999999999</v>
      </c>
      <c r="Q12">
        <f t="shared" si="6"/>
        <v>1.29</v>
      </c>
      <c r="R12">
        <f t="shared" si="6"/>
        <v>1.4279999999999999</v>
      </c>
      <c r="S12">
        <f t="shared" si="6"/>
        <v>1.5660000000000001</v>
      </c>
      <c r="T12">
        <f t="shared" si="6"/>
        <v>1.7010000000000001</v>
      </c>
      <c r="U12">
        <f t="shared" si="6"/>
        <v>1.8360000000000001</v>
      </c>
      <c r="V12">
        <f t="shared" si="6"/>
        <v>1.968</v>
      </c>
      <c r="W12">
        <f t="shared" si="6"/>
        <v>2.1</v>
      </c>
      <c r="X12">
        <f t="shared" si="6"/>
        <v>2.226</v>
      </c>
      <c r="Y12">
        <f t="shared" si="6"/>
        <v>2.3519999999999999</v>
      </c>
      <c r="Z12">
        <f t="shared" si="6"/>
        <v>2.52</v>
      </c>
      <c r="AA12">
        <f t="shared" si="6"/>
        <v>2.6867999999999999</v>
      </c>
      <c r="AB12">
        <f t="shared" si="6"/>
        <v>2.8494000000000002</v>
      </c>
      <c r="AC12">
        <f t="shared" si="6"/>
        <v>3.012</v>
      </c>
      <c r="AD12">
        <f t="shared" si="6"/>
        <v>3.2172000000000001</v>
      </c>
      <c r="AE12">
        <f t="shared" si="6"/>
        <v>3.4224000000000001</v>
      </c>
      <c r="AF12">
        <f t="shared" si="6"/>
        <v>3.6263999999999998</v>
      </c>
      <c r="AG12">
        <f t="shared" si="6"/>
        <v>3.8304</v>
      </c>
      <c r="AH12">
        <f t="shared" si="6"/>
        <v>4.1082000000000001</v>
      </c>
      <c r="AI12">
        <f t="shared" si="6"/>
        <v>4.3860000000000001</v>
      </c>
      <c r="AJ12">
        <f t="shared" si="6"/>
        <v>4.6614000000000004</v>
      </c>
      <c r="AK12">
        <f t="shared" si="6"/>
        <v>4.9367999999999999</v>
      </c>
    </row>
    <row r="13" spans="1:37" x14ac:dyDescent="0.25">
      <c r="A13" t="s">
        <v>16</v>
      </c>
      <c r="B13">
        <f>$B30*$B40*B5/$B26</f>
        <v>0</v>
      </c>
      <c r="C13">
        <f t="shared" ref="C13:AK13" si="7">$B30*$B40*C5/$B26</f>
        <v>2.5000000000000005E-3</v>
      </c>
      <c r="D13">
        <f t="shared" si="7"/>
        <v>7.5000000000000015E-3</v>
      </c>
      <c r="E13">
        <f t="shared" si="7"/>
        <v>1.2500000000000002E-2</v>
      </c>
      <c r="F13">
        <f t="shared" si="7"/>
        <v>2.2500000000000006E-2</v>
      </c>
      <c r="G13">
        <f t="shared" si="7"/>
        <v>3.2500000000000008E-2</v>
      </c>
      <c r="H13">
        <f t="shared" si="7"/>
        <v>4.5000000000000012E-2</v>
      </c>
      <c r="I13">
        <f t="shared" si="7"/>
        <v>5.7500000000000009E-2</v>
      </c>
      <c r="J13">
        <f t="shared" si="7"/>
        <v>7.2500000000000009E-2</v>
      </c>
      <c r="K13">
        <f t="shared" si="7"/>
        <v>8.7500000000000008E-2</v>
      </c>
      <c r="L13">
        <f t="shared" si="7"/>
        <v>0.10750000000000003</v>
      </c>
      <c r="M13">
        <f t="shared" si="7"/>
        <v>0.12750000000000003</v>
      </c>
      <c r="N13">
        <f t="shared" si="7"/>
        <v>0.14750000000000002</v>
      </c>
      <c r="O13">
        <f t="shared" si="7"/>
        <v>0.16700000000000001</v>
      </c>
      <c r="P13">
        <f t="shared" si="7"/>
        <v>0.19100000000000006</v>
      </c>
      <c r="Q13">
        <f t="shared" si="7"/>
        <v>0.21500000000000005</v>
      </c>
      <c r="R13">
        <f t="shared" si="7"/>
        <v>0.23800000000000004</v>
      </c>
      <c r="S13">
        <f t="shared" si="7"/>
        <v>0.26100000000000007</v>
      </c>
      <c r="T13">
        <f t="shared" si="7"/>
        <v>0.28350000000000003</v>
      </c>
      <c r="U13">
        <f t="shared" si="7"/>
        <v>0.30600000000000005</v>
      </c>
      <c r="V13">
        <f t="shared" si="7"/>
        <v>0.32800000000000007</v>
      </c>
      <c r="W13">
        <f t="shared" si="7"/>
        <v>0.35000000000000003</v>
      </c>
      <c r="X13">
        <f t="shared" si="7"/>
        <v>0.37100000000000011</v>
      </c>
      <c r="Y13">
        <f t="shared" si="7"/>
        <v>0.39200000000000007</v>
      </c>
      <c r="Z13">
        <f t="shared" si="7"/>
        <v>0.4200000000000001</v>
      </c>
      <c r="AA13">
        <f t="shared" si="7"/>
        <v>0.44780000000000009</v>
      </c>
      <c r="AB13">
        <f t="shared" si="7"/>
        <v>0.4749000000000001</v>
      </c>
      <c r="AC13">
        <f t="shared" si="7"/>
        <v>0.50200000000000011</v>
      </c>
      <c r="AD13">
        <f t="shared" si="7"/>
        <v>0.53620000000000012</v>
      </c>
      <c r="AE13">
        <f t="shared" si="7"/>
        <v>0.57040000000000013</v>
      </c>
      <c r="AF13">
        <f t="shared" si="7"/>
        <v>0.60440000000000005</v>
      </c>
      <c r="AG13">
        <f t="shared" si="7"/>
        <v>0.63840000000000008</v>
      </c>
      <c r="AH13">
        <f t="shared" si="7"/>
        <v>0.68470000000000009</v>
      </c>
      <c r="AI13">
        <f t="shared" si="7"/>
        <v>0.73100000000000021</v>
      </c>
      <c r="AJ13">
        <f t="shared" si="7"/>
        <v>0.77690000000000015</v>
      </c>
      <c r="AK13">
        <f t="shared" si="7"/>
        <v>0.8228000000000002</v>
      </c>
    </row>
    <row r="14" spans="1:37" x14ac:dyDescent="0.25">
      <c r="A14" t="s">
        <v>37</v>
      </c>
    </row>
    <row r="16" spans="1:37" x14ac:dyDescent="0.25">
      <c r="A16" s="19" t="s">
        <v>9</v>
      </c>
    </row>
    <row r="17" spans="1:37" x14ac:dyDescent="0.25">
      <c r="A17" t="s">
        <v>10</v>
      </c>
      <c r="B17">
        <f>1+ROUNDUP(B10+B11,0)</f>
        <v>2</v>
      </c>
      <c r="C17">
        <f t="shared" ref="C17:AK17" si="8">1+ROUNDUP(C10+C11,0)</f>
        <v>2</v>
      </c>
      <c r="D17">
        <f t="shared" si="8"/>
        <v>2</v>
      </c>
      <c r="E17">
        <f t="shared" si="8"/>
        <v>2</v>
      </c>
      <c r="F17">
        <f t="shared" si="8"/>
        <v>3</v>
      </c>
      <c r="G17">
        <f t="shared" si="8"/>
        <v>3</v>
      </c>
      <c r="H17">
        <f t="shared" si="8"/>
        <v>3</v>
      </c>
      <c r="I17">
        <f t="shared" si="8"/>
        <v>3</v>
      </c>
      <c r="J17">
        <f t="shared" si="8"/>
        <v>3</v>
      </c>
      <c r="K17">
        <f t="shared" si="8"/>
        <v>3</v>
      </c>
      <c r="L17">
        <f t="shared" si="8"/>
        <v>3</v>
      </c>
      <c r="M17">
        <f t="shared" si="8"/>
        <v>3</v>
      </c>
      <c r="N17">
        <f t="shared" si="8"/>
        <v>4</v>
      </c>
      <c r="O17">
        <f t="shared" si="8"/>
        <v>4</v>
      </c>
      <c r="P17">
        <f t="shared" si="8"/>
        <v>4</v>
      </c>
      <c r="Q17">
        <f t="shared" si="8"/>
        <v>4</v>
      </c>
      <c r="R17">
        <f t="shared" si="8"/>
        <v>4</v>
      </c>
      <c r="S17">
        <f t="shared" si="8"/>
        <v>4</v>
      </c>
      <c r="T17">
        <f t="shared" si="8"/>
        <v>4</v>
      </c>
      <c r="U17">
        <f t="shared" si="8"/>
        <v>4</v>
      </c>
      <c r="V17">
        <f t="shared" si="8"/>
        <v>4</v>
      </c>
      <c r="W17">
        <f t="shared" si="8"/>
        <v>4</v>
      </c>
      <c r="X17">
        <f t="shared" si="8"/>
        <v>4</v>
      </c>
      <c r="Y17">
        <f t="shared" si="8"/>
        <v>4</v>
      </c>
      <c r="Z17">
        <f t="shared" si="8"/>
        <v>4</v>
      </c>
      <c r="AA17">
        <f t="shared" si="8"/>
        <v>4</v>
      </c>
      <c r="AB17">
        <f t="shared" si="8"/>
        <v>5</v>
      </c>
      <c r="AC17">
        <f t="shared" si="8"/>
        <v>5</v>
      </c>
      <c r="AD17">
        <f t="shared" si="8"/>
        <v>5</v>
      </c>
      <c r="AE17">
        <f t="shared" si="8"/>
        <v>5</v>
      </c>
      <c r="AF17">
        <f t="shared" si="8"/>
        <v>6</v>
      </c>
      <c r="AG17">
        <f t="shared" si="8"/>
        <v>6</v>
      </c>
      <c r="AH17">
        <f t="shared" si="8"/>
        <v>6</v>
      </c>
      <c r="AI17">
        <f t="shared" si="8"/>
        <v>6</v>
      </c>
      <c r="AJ17">
        <f t="shared" si="8"/>
        <v>7</v>
      </c>
      <c r="AK17">
        <f t="shared" si="8"/>
        <v>8</v>
      </c>
    </row>
    <row r="18" spans="1:37" x14ac:dyDescent="0.25">
      <c r="A18" t="s">
        <v>60</v>
      </c>
      <c r="B18">
        <f>1+ROUNDUP(B12+B13,0)</f>
        <v>1</v>
      </c>
      <c r="C18">
        <f t="shared" ref="C18:AK18" si="9">1+ROUNDUP(C12+C13,0)</f>
        <v>2</v>
      </c>
      <c r="D18">
        <f t="shared" si="9"/>
        <v>2</v>
      </c>
      <c r="E18">
        <f t="shared" si="9"/>
        <v>2</v>
      </c>
      <c r="F18">
        <f t="shared" si="9"/>
        <v>2</v>
      </c>
      <c r="G18">
        <f t="shared" si="9"/>
        <v>2</v>
      </c>
      <c r="H18">
        <f t="shared" si="9"/>
        <v>2</v>
      </c>
      <c r="I18">
        <f t="shared" si="9"/>
        <v>2</v>
      </c>
      <c r="J18">
        <f t="shared" si="9"/>
        <v>2</v>
      </c>
      <c r="K18">
        <f t="shared" si="9"/>
        <v>2</v>
      </c>
      <c r="L18">
        <f t="shared" si="9"/>
        <v>2</v>
      </c>
      <c r="M18">
        <f t="shared" si="9"/>
        <v>2</v>
      </c>
      <c r="N18">
        <f t="shared" si="9"/>
        <v>3</v>
      </c>
      <c r="O18">
        <f t="shared" si="9"/>
        <v>3</v>
      </c>
      <c r="P18">
        <f t="shared" si="9"/>
        <v>3</v>
      </c>
      <c r="Q18">
        <f t="shared" si="9"/>
        <v>3</v>
      </c>
      <c r="R18">
        <f t="shared" si="9"/>
        <v>3</v>
      </c>
      <c r="S18">
        <f t="shared" si="9"/>
        <v>3</v>
      </c>
      <c r="T18">
        <f t="shared" si="9"/>
        <v>3</v>
      </c>
      <c r="U18">
        <f t="shared" si="9"/>
        <v>4</v>
      </c>
      <c r="V18">
        <f t="shared" si="9"/>
        <v>4</v>
      </c>
      <c r="W18">
        <f t="shared" si="9"/>
        <v>4</v>
      </c>
      <c r="X18">
        <f t="shared" si="9"/>
        <v>4</v>
      </c>
      <c r="Y18">
        <f t="shared" si="9"/>
        <v>4</v>
      </c>
      <c r="Z18">
        <f t="shared" si="9"/>
        <v>4</v>
      </c>
      <c r="AA18">
        <f t="shared" si="9"/>
        <v>5</v>
      </c>
      <c r="AB18">
        <f t="shared" si="9"/>
        <v>5</v>
      </c>
      <c r="AC18">
        <f t="shared" si="9"/>
        <v>5</v>
      </c>
      <c r="AD18">
        <f t="shared" si="9"/>
        <v>5</v>
      </c>
      <c r="AE18">
        <f t="shared" si="9"/>
        <v>5</v>
      </c>
      <c r="AF18">
        <f t="shared" si="9"/>
        <v>6</v>
      </c>
      <c r="AG18">
        <f t="shared" si="9"/>
        <v>6</v>
      </c>
      <c r="AH18">
        <f t="shared" si="9"/>
        <v>6</v>
      </c>
      <c r="AI18">
        <f t="shared" si="9"/>
        <v>7</v>
      </c>
      <c r="AJ18">
        <f t="shared" si="9"/>
        <v>7</v>
      </c>
      <c r="AK18">
        <f t="shared" si="9"/>
        <v>7</v>
      </c>
    </row>
    <row r="19" spans="1:37" ht="15.75" thickBot="1" x14ac:dyDescent="0.3">
      <c r="A19" t="s">
        <v>29</v>
      </c>
      <c r="B19">
        <f>1+ROUNDUP(B6*$B42/$B31,0)</f>
        <v>1</v>
      </c>
      <c r="C19">
        <f t="shared" ref="C19:AK19" si="10">1+ROUNDUP(C6*$B42/$B31,0)</f>
        <v>2</v>
      </c>
      <c r="D19">
        <f t="shared" si="10"/>
        <v>2</v>
      </c>
      <c r="E19">
        <f t="shared" si="10"/>
        <v>2</v>
      </c>
      <c r="F19">
        <f t="shared" si="10"/>
        <v>3</v>
      </c>
      <c r="G19">
        <f t="shared" si="10"/>
        <v>3</v>
      </c>
      <c r="H19">
        <f t="shared" si="10"/>
        <v>3</v>
      </c>
      <c r="I19">
        <f t="shared" si="10"/>
        <v>3</v>
      </c>
      <c r="J19">
        <f t="shared" si="10"/>
        <v>4</v>
      </c>
      <c r="K19">
        <f t="shared" si="10"/>
        <v>4</v>
      </c>
      <c r="L19">
        <f t="shared" si="10"/>
        <v>4</v>
      </c>
      <c r="M19">
        <f t="shared" si="10"/>
        <v>4</v>
      </c>
      <c r="N19">
        <f t="shared" si="10"/>
        <v>4</v>
      </c>
      <c r="O19">
        <f t="shared" si="10"/>
        <v>4</v>
      </c>
      <c r="P19">
        <f t="shared" si="10"/>
        <v>5</v>
      </c>
      <c r="Q19">
        <f t="shared" si="10"/>
        <v>5</v>
      </c>
      <c r="R19">
        <f t="shared" si="10"/>
        <v>5</v>
      </c>
      <c r="S19">
        <f t="shared" si="10"/>
        <v>5</v>
      </c>
      <c r="T19">
        <f t="shared" si="10"/>
        <v>5</v>
      </c>
      <c r="U19">
        <f t="shared" si="10"/>
        <v>5</v>
      </c>
      <c r="V19">
        <f t="shared" si="10"/>
        <v>5</v>
      </c>
      <c r="W19">
        <f t="shared" si="10"/>
        <v>5</v>
      </c>
      <c r="X19">
        <f t="shared" si="10"/>
        <v>5</v>
      </c>
      <c r="Y19">
        <f t="shared" si="10"/>
        <v>5</v>
      </c>
      <c r="Z19">
        <f t="shared" si="10"/>
        <v>6</v>
      </c>
      <c r="AA19">
        <f t="shared" si="10"/>
        <v>6</v>
      </c>
      <c r="AB19">
        <f t="shared" si="10"/>
        <v>6</v>
      </c>
      <c r="AC19">
        <f t="shared" si="10"/>
        <v>6</v>
      </c>
      <c r="AD19">
        <f t="shared" si="10"/>
        <v>7</v>
      </c>
      <c r="AE19">
        <f t="shared" si="10"/>
        <v>7</v>
      </c>
      <c r="AF19">
        <f t="shared" si="10"/>
        <v>7</v>
      </c>
      <c r="AG19">
        <f t="shared" si="10"/>
        <v>7</v>
      </c>
      <c r="AH19">
        <f t="shared" si="10"/>
        <v>9</v>
      </c>
      <c r="AI19">
        <f t="shared" si="10"/>
        <v>9</v>
      </c>
      <c r="AJ19">
        <f t="shared" si="10"/>
        <v>9</v>
      </c>
      <c r="AK19">
        <f t="shared" si="10"/>
        <v>9</v>
      </c>
    </row>
    <row r="20" spans="1:37" ht="15.75" thickTop="1" x14ac:dyDescent="0.25">
      <c r="A20" s="28" t="s">
        <v>11</v>
      </c>
      <c r="B20" s="43">
        <v>2</v>
      </c>
      <c r="C20" s="44">
        <v>2</v>
      </c>
      <c r="D20" s="44">
        <v>2</v>
      </c>
      <c r="E20" s="44">
        <v>2</v>
      </c>
      <c r="F20" s="44">
        <v>2</v>
      </c>
      <c r="G20" s="44">
        <v>2</v>
      </c>
      <c r="H20" s="44">
        <v>2</v>
      </c>
      <c r="I20" s="44">
        <v>2</v>
      </c>
      <c r="J20" s="44">
        <v>2</v>
      </c>
      <c r="K20" s="44">
        <v>2</v>
      </c>
      <c r="L20" s="44">
        <v>2</v>
      </c>
      <c r="M20" s="44">
        <v>2</v>
      </c>
      <c r="N20" s="44">
        <v>3</v>
      </c>
      <c r="O20" s="44">
        <v>3</v>
      </c>
      <c r="P20" s="44">
        <v>3</v>
      </c>
      <c r="Q20" s="44">
        <v>3</v>
      </c>
      <c r="R20" s="44">
        <v>3</v>
      </c>
      <c r="S20" s="44">
        <v>3</v>
      </c>
      <c r="T20" s="44">
        <v>3</v>
      </c>
      <c r="U20" s="44">
        <v>3</v>
      </c>
      <c r="V20" s="44">
        <v>3</v>
      </c>
      <c r="W20" s="44">
        <v>3</v>
      </c>
      <c r="X20" s="44">
        <v>3</v>
      </c>
      <c r="Y20" s="44">
        <v>3</v>
      </c>
      <c r="Z20" s="44">
        <v>3</v>
      </c>
      <c r="AA20" s="44">
        <v>3</v>
      </c>
      <c r="AB20" s="44">
        <v>3</v>
      </c>
      <c r="AC20" s="44">
        <v>3</v>
      </c>
      <c r="AD20" s="44">
        <v>3</v>
      </c>
      <c r="AE20" s="44">
        <v>3</v>
      </c>
      <c r="AF20" s="44">
        <v>3</v>
      </c>
      <c r="AG20" s="44">
        <v>3</v>
      </c>
      <c r="AH20" s="44">
        <v>3</v>
      </c>
      <c r="AI20" s="44">
        <v>3</v>
      </c>
      <c r="AJ20" s="44">
        <v>3</v>
      </c>
      <c r="AK20" s="45">
        <v>3</v>
      </c>
    </row>
    <row r="21" spans="1:37" x14ac:dyDescent="0.25">
      <c r="A21" s="28" t="s">
        <v>12</v>
      </c>
      <c r="B21" s="46">
        <v>3</v>
      </c>
      <c r="C21" s="28">
        <v>3</v>
      </c>
      <c r="D21" s="28">
        <v>3</v>
      </c>
      <c r="E21" s="28">
        <v>3</v>
      </c>
      <c r="F21" s="28">
        <v>3</v>
      </c>
      <c r="G21" s="28">
        <v>3</v>
      </c>
      <c r="H21" s="28">
        <v>3</v>
      </c>
      <c r="I21" s="28">
        <v>3</v>
      </c>
      <c r="J21" s="28">
        <v>3</v>
      </c>
      <c r="K21" s="28">
        <v>3</v>
      </c>
      <c r="L21" s="28">
        <v>3</v>
      </c>
      <c r="M21" s="28">
        <v>3</v>
      </c>
      <c r="N21" s="28">
        <v>5</v>
      </c>
      <c r="O21" s="28">
        <v>5</v>
      </c>
      <c r="P21" s="28">
        <v>5</v>
      </c>
      <c r="Q21" s="28">
        <v>5</v>
      </c>
      <c r="R21" s="28">
        <v>5</v>
      </c>
      <c r="S21" s="28">
        <v>5</v>
      </c>
      <c r="T21" s="28">
        <v>5</v>
      </c>
      <c r="U21" s="28">
        <v>5</v>
      </c>
      <c r="V21" s="28">
        <v>5</v>
      </c>
      <c r="W21" s="28">
        <v>5</v>
      </c>
      <c r="X21" s="28">
        <v>5</v>
      </c>
      <c r="Y21" s="28">
        <v>5</v>
      </c>
      <c r="Z21" s="28">
        <v>5</v>
      </c>
      <c r="AA21" s="28">
        <v>5</v>
      </c>
      <c r="AB21" s="28">
        <v>5</v>
      </c>
      <c r="AC21" s="28">
        <v>5</v>
      </c>
      <c r="AD21" s="28">
        <v>5</v>
      </c>
      <c r="AE21" s="28">
        <v>5</v>
      </c>
      <c r="AF21" s="28">
        <v>5</v>
      </c>
      <c r="AG21" s="28">
        <v>5</v>
      </c>
      <c r="AH21" s="28">
        <v>5</v>
      </c>
      <c r="AI21" s="28">
        <v>5</v>
      </c>
      <c r="AJ21" s="28">
        <v>5</v>
      </c>
      <c r="AK21" s="47">
        <v>5</v>
      </c>
    </row>
    <row r="22" spans="1:37" ht="15.75" thickBot="1" x14ac:dyDescent="0.3">
      <c r="A22" s="32" t="s">
        <v>13</v>
      </c>
      <c r="B22" s="48">
        <v>2</v>
      </c>
      <c r="C22" s="49">
        <v>2</v>
      </c>
      <c r="D22" s="49">
        <v>2</v>
      </c>
      <c r="E22" s="49">
        <v>2</v>
      </c>
      <c r="F22" s="49">
        <v>2</v>
      </c>
      <c r="G22" s="49">
        <v>2</v>
      </c>
      <c r="H22" s="49">
        <v>3</v>
      </c>
      <c r="I22" s="49">
        <v>3</v>
      </c>
      <c r="J22" s="49">
        <v>3</v>
      </c>
      <c r="K22" s="49">
        <v>3</v>
      </c>
      <c r="L22" s="49">
        <v>3</v>
      </c>
      <c r="M22" s="49">
        <v>3</v>
      </c>
      <c r="N22" s="49">
        <v>3</v>
      </c>
      <c r="O22" s="49">
        <v>3</v>
      </c>
      <c r="P22" s="49">
        <v>3</v>
      </c>
      <c r="Q22" s="49">
        <v>3</v>
      </c>
      <c r="R22" s="49">
        <v>3</v>
      </c>
      <c r="S22" s="49">
        <v>3</v>
      </c>
      <c r="T22" s="49">
        <v>4</v>
      </c>
      <c r="U22" s="49">
        <v>4</v>
      </c>
      <c r="V22" s="49">
        <v>4</v>
      </c>
      <c r="W22" s="49">
        <v>4</v>
      </c>
      <c r="X22" s="49">
        <v>4</v>
      </c>
      <c r="Y22" s="49">
        <v>4</v>
      </c>
      <c r="Z22" s="49">
        <v>4</v>
      </c>
      <c r="AA22" s="49">
        <v>4</v>
      </c>
      <c r="AB22" s="49">
        <v>4</v>
      </c>
      <c r="AC22" s="49">
        <v>4</v>
      </c>
      <c r="AD22" s="49">
        <v>4</v>
      </c>
      <c r="AE22" s="49">
        <v>4</v>
      </c>
      <c r="AF22" s="49">
        <v>5</v>
      </c>
      <c r="AG22" s="49">
        <v>5</v>
      </c>
      <c r="AH22" s="49">
        <v>5</v>
      </c>
      <c r="AI22" s="49">
        <v>5</v>
      </c>
      <c r="AJ22" s="49">
        <v>5</v>
      </c>
      <c r="AK22" s="50">
        <v>5</v>
      </c>
    </row>
    <row r="23" spans="1:37" ht="15.75" thickTop="1" x14ac:dyDescent="0.25">
      <c r="A23" t="s">
        <v>21</v>
      </c>
      <c r="B23" s="68">
        <f>SUM(B17:B22)</f>
        <v>11</v>
      </c>
      <c r="C23">
        <f t="shared" ref="C23:AK23" si="11">SUM(C17:C22)</f>
        <v>13</v>
      </c>
      <c r="D23">
        <f t="shared" si="11"/>
        <v>13</v>
      </c>
      <c r="E23">
        <f t="shared" si="11"/>
        <v>13</v>
      </c>
      <c r="F23">
        <f t="shared" si="11"/>
        <v>15</v>
      </c>
      <c r="G23">
        <f t="shared" si="11"/>
        <v>15</v>
      </c>
      <c r="H23">
        <f t="shared" si="11"/>
        <v>16</v>
      </c>
      <c r="I23">
        <f t="shared" si="11"/>
        <v>16</v>
      </c>
      <c r="J23">
        <f t="shared" si="11"/>
        <v>17</v>
      </c>
      <c r="K23">
        <f t="shared" si="11"/>
        <v>17</v>
      </c>
      <c r="L23">
        <f t="shared" si="11"/>
        <v>17</v>
      </c>
      <c r="M23">
        <f t="shared" si="11"/>
        <v>17</v>
      </c>
      <c r="N23">
        <f t="shared" si="11"/>
        <v>22</v>
      </c>
      <c r="O23">
        <f t="shared" si="11"/>
        <v>22</v>
      </c>
      <c r="P23">
        <f t="shared" si="11"/>
        <v>23</v>
      </c>
      <c r="Q23">
        <f t="shared" si="11"/>
        <v>23</v>
      </c>
      <c r="R23">
        <f t="shared" si="11"/>
        <v>23</v>
      </c>
      <c r="S23">
        <f t="shared" si="11"/>
        <v>23</v>
      </c>
      <c r="T23">
        <f t="shared" si="11"/>
        <v>24</v>
      </c>
      <c r="U23">
        <f t="shared" si="11"/>
        <v>25</v>
      </c>
      <c r="V23">
        <f t="shared" si="11"/>
        <v>25</v>
      </c>
      <c r="W23">
        <f t="shared" si="11"/>
        <v>25</v>
      </c>
      <c r="X23">
        <f t="shared" si="11"/>
        <v>25</v>
      </c>
      <c r="Y23">
        <f t="shared" si="11"/>
        <v>25</v>
      </c>
      <c r="Z23">
        <f t="shared" si="11"/>
        <v>26</v>
      </c>
      <c r="AA23">
        <f t="shared" si="11"/>
        <v>27</v>
      </c>
      <c r="AB23">
        <f t="shared" si="11"/>
        <v>28</v>
      </c>
      <c r="AC23">
        <f t="shared" si="11"/>
        <v>28</v>
      </c>
      <c r="AD23">
        <f t="shared" si="11"/>
        <v>29</v>
      </c>
      <c r="AE23">
        <f t="shared" si="11"/>
        <v>29</v>
      </c>
      <c r="AF23">
        <f t="shared" si="11"/>
        <v>32</v>
      </c>
      <c r="AG23">
        <f t="shared" si="11"/>
        <v>32</v>
      </c>
      <c r="AH23">
        <f t="shared" si="11"/>
        <v>34</v>
      </c>
      <c r="AI23">
        <f t="shared" si="11"/>
        <v>35</v>
      </c>
      <c r="AJ23">
        <f t="shared" si="11"/>
        <v>36</v>
      </c>
      <c r="AK23">
        <f t="shared" si="11"/>
        <v>37</v>
      </c>
    </row>
    <row r="25" spans="1:37" ht="15.75" thickBot="1" x14ac:dyDescent="0.3">
      <c r="A25" s="20" t="s">
        <v>15</v>
      </c>
      <c r="B25" s="51">
        <f>'Revenue model'!B14</f>
        <v>30000</v>
      </c>
      <c r="C25" s="20" t="s">
        <v>47</v>
      </c>
      <c r="D25" s="20"/>
      <c r="E25" s="20"/>
    </row>
    <row r="26" spans="1:37" ht="20.25" thickTop="1" thickBot="1" x14ac:dyDescent="0.35">
      <c r="A26" s="20" t="s">
        <v>14</v>
      </c>
      <c r="B26" s="52">
        <v>10000</v>
      </c>
      <c r="C26" s="20" t="s">
        <v>20</v>
      </c>
      <c r="D26" s="20"/>
      <c r="E26" s="20"/>
      <c r="G26" s="56" t="s">
        <v>61</v>
      </c>
      <c r="H26" s="57"/>
      <c r="I26" s="57"/>
      <c r="J26" s="57"/>
      <c r="K26" s="60"/>
      <c r="L26" s="57"/>
      <c r="M26" s="57"/>
      <c r="N26" s="58"/>
    </row>
    <row r="27" spans="1:37" ht="15.75" thickTop="1" x14ac:dyDescent="0.25">
      <c r="A27" s="20" t="s">
        <v>38</v>
      </c>
      <c r="B27" s="53">
        <v>0.25</v>
      </c>
      <c r="C27" s="20" t="s">
        <v>39</v>
      </c>
      <c r="D27" s="20"/>
      <c r="E27" s="20"/>
    </row>
    <row r="28" spans="1:37" ht="15.75" thickBot="1" x14ac:dyDescent="0.3">
      <c r="A28" s="20" t="s">
        <v>74</v>
      </c>
      <c r="B28" s="54">
        <v>10000</v>
      </c>
      <c r="C28" s="20" t="s">
        <v>75</v>
      </c>
      <c r="D28" s="20"/>
      <c r="E28" s="69" t="s">
        <v>76</v>
      </c>
    </row>
    <row r="29" spans="1:37" ht="20.25" thickTop="1" thickBot="1" x14ac:dyDescent="0.35">
      <c r="A29" s="20" t="s">
        <v>44</v>
      </c>
      <c r="B29" s="53">
        <v>0.2</v>
      </c>
      <c r="C29" s="20" t="s">
        <v>53</v>
      </c>
      <c r="D29" s="20"/>
      <c r="E29" s="20"/>
      <c r="G29" s="56" t="s">
        <v>31</v>
      </c>
      <c r="H29" s="57"/>
      <c r="I29" s="57"/>
      <c r="J29" s="58"/>
      <c r="L29" s="24"/>
      <c r="M29" s="24"/>
    </row>
    <row r="30" spans="1:37" ht="15.75" thickTop="1" x14ac:dyDescent="0.25">
      <c r="A30" s="20" t="s">
        <v>17</v>
      </c>
      <c r="B30" s="53">
        <v>0.05</v>
      </c>
      <c r="C30" s="20" t="s">
        <v>54</v>
      </c>
      <c r="D30" s="20"/>
      <c r="E30" s="20"/>
    </row>
    <row r="31" spans="1:37" x14ac:dyDescent="0.25">
      <c r="A31" s="20" t="s">
        <v>45</v>
      </c>
      <c r="B31" s="54">
        <v>18000</v>
      </c>
      <c r="C31" s="20" t="s">
        <v>55</v>
      </c>
      <c r="D31" s="20"/>
      <c r="E31" s="20"/>
    </row>
    <row r="32" spans="1:37" x14ac:dyDescent="0.25">
      <c r="A32" s="20" t="s">
        <v>62</v>
      </c>
      <c r="B32" s="54">
        <v>100000</v>
      </c>
      <c r="C32" s="20" t="s">
        <v>48</v>
      </c>
      <c r="D32" s="20" t="s">
        <v>19</v>
      </c>
      <c r="E32" s="20"/>
      <c r="G32" s="71" t="s">
        <v>63</v>
      </c>
      <c r="H32" s="71"/>
      <c r="I32" s="71"/>
      <c r="J32" s="71"/>
      <c r="K32" s="71"/>
      <c r="L32" s="70" t="s">
        <v>77</v>
      </c>
    </row>
    <row r="33" spans="1:37" x14ac:dyDescent="0.25">
      <c r="A33" s="20" t="s">
        <v>56</v>
      </c>
      <c r="B33" s="53">
        <v>0.15</v>
      </c>
      <c r="C33" s="20" t="s">
        <v>48</v>
      </c>
      <c r="D33" s="20"/>
      <c r="E33" s="20"/>
    </row>
    <row r="34" spans="1:37" x14ac:dyDescent="0.25">
      <c r="A34" s="20" t="s">
        <v>46</v>
      </c>
      <c r="B34" s="53">
        <v>0.1</v>
      </c>
      <c r="C34" s="21" t="s">
        <v>49</v>
      </c>
      <c r="D34" s="20"/>
      <c r="E34" s="20"/>
    </row>
    <row r="35" spans="1:37" ht="15.75" thickBot="1" x14ac:dyDescent="0.3">
      <c r="A35" s="20" t="s">
        <v>57</v>
      </c>
      <c r="B35" s="55">
        <v>0.15</v>
      </c>
      <c r="C35" s="20" t="s">
        <v>48</v>
      </c>
      <c r="D35" s="20" t="s">
        <v>18</v>
      </c>
      <c r="E35" s="20"/>
    </row>
    <row r="36" spans="1:37" ht="16.5" thickTop="1" thickBot="1" x14ac:dyDescent="0.3">
      <c r="A36" s="20"/>
      <c r="B36" s="62"/>
      <c r="C36" s="20"/>
      <c r="D36" s="20"/>
      <c r="E36" s="20"/>
    </row>
    <row r="37" spans="1:37" x14ac:dyDescent="0.25">
      <c r="A37" s="20" t="s">
        <v>64</v>
      </c>
      <c r="B37" s="66">
        <v>0.5</v>
      </c>
      <c r="C37" s="20" t="s">
        <v>69</v>
      </c>
      <c r="D37" s="20"/>
      <c r="E37" s="20"/>
      <c r="G37" s="72" t="s">
        <v>78</v>
      </c>
    </row>
    <row r="38" spans="1:37" x14ac:dyDescent="0.25">
      <c r="A38" s="20" t="s">
        <v>70</v>
      </c>
      <c r="B38" s="65">
        <v>0.75</v>
      </c>
      <c r="C38" s="20" t="s">
        <v>69</v>
      </c>
      <c r="D38" s="20"/>
      <c r="E38" s="20"/>
      <c r="G38" s="72" t="s">
        <v>78</v>
      </c>
    </row>
    <row r="39" spans="1:37" x14ac:dyDescent="0.25">
      <c r="A39" s="20" t="s">
        <v>65</v>
      </c>
      <c r="B39" s="63">
        <v>0.5</v>
      </c>
      <c r="C39" s="20" t="s">
        <v>69</v>
      </c>
      <c r="D39" s="20"/>
      <c r="E39" s="20"/>
      <c r="G39" s="72" t="s">
        <v>78</v>
      </c>
    </row>
    <row r="40" spans="1:37" x14ac:dyDescent="0.25">
      <c r="A40" s="20" t="s">
        <v>66</v>
      </c>
      <c r="B40" s="65">
        <v>0.2</v>
      </c>
      <c r="C40" s="20" t="s">
        <v>79</v>
      </c>
      <c r="D40" s="20"/>
      <c r="E40" s="20"/>
      <c r="G40" s="67" t="s">
        <v>72</v>
      </c>
    </row>
    <row r="41" spans="1:37" x14ac:dyDescent="0.25">
      <c r="A41" s="20" t="s">
        <v>67</v>
      </c>
      <c r="B41" s="65">
        <v>0.3</v>
      </c>
      <c r="C41" s="20" t="s">
        <v>79</v>
      </c>
      <c r="D41" s="20"/>
      <c r="E41" s="20"/>
      <c r="G41" s="67" t="s">
        <v>72</v>
      </c>
    </row>
    <row r="42" spans="1:37" x14ac:dyDescent="0.25">
      <c r="A42" s="20" t="s">
        <v>71</v>
      </c>
      <c r="B42" s="65">
        <v>0.75</v>
      </c>
      <c r="C42" s="20" t="s">
        <v>79</v>
      </c>
      <c r="D42" s="20"/>
      <c r="E42" s="20"/>
      <c r="G42" s="67" t="s">
        <v>72</v>
      </c>
    </row>
    <row r="43" spans="1:37" ht="15.75" thickBot="1" x14ac:dyDescent="0.3">
      <c r="A43" s="20" t="s">
        <v>68</v>
      </c>
      <c r="B43" s="64">
        <v>0.75</v>
      </c>
      <c r="C43" s="20" t="s">
        <v>79</v>
      </c>
      <c r="D43" s="20"/>
      <c r="E43" s="20"/>
      <c r="G43" s="67" t="s">
        <v>72</v>
      </c>
    </row>
    <row r="44" spans="1:37" x14ac:dyDescent="0.25">
      <c r="A44" s="20"/>
      <c r="B44" s="61"/>
      <c r="C44" s="20"/>
      <c r="D44" s="20"/>
      <c r="E44" s="20"/>
    </row>
    <row r="46" spans="1:37" x14ac:dyDescent="0.25">
      <c r="A46" s="24" t="s">
        <v>22</v>
      </c>
    </row>
    <row r="47" spans="1:37" s="25" customFormat="1" x14ac:dyDescent="0.25">
      <c r="B47" s="25">
        <f>B1</f>
        <v>1</v>
      </c>
      <c r="C47" s="25">
        <f t="shared" ref="C47:AK47" si="12">C1</f>
        <v>2</v>
      </c>
      <c r="D47" s="25">
        <f t="shared" si="12"/>
        <v>3</v>
      </c>
      <c r="E47" s="25">
        <f t="shared" si="12"/>
        <v>4</v>
      </c>
      <c r="F47" s="25">
        <f t="shared" si="12"/>
        <v>5</v>
      </c>
      <c r="G47" s="25">
        <f t="shared" si="12"/>
        <v>6</v>
      </c>
      <c r="H47" s="25">
        <f t="shared" si="12"/>
        <v>7</v>
      </c>
      <c r="I47" s="25">
        <f t="shared" si="12"/>
        <v>8</v>
      </c>
      <c r="J47" s="25">
        <f t="shared" si="12"/>
        <v>9</v>
      </c>
      <c r="K47" s="25">
        <f t="shared" si="12"/>
        <v>10</v>
      </c>
      <c r="L47" s="25">
        <f t="shared" si="12"/>
        <v>11</v>
      </c>
      <c r="M47" s="25">
        <f t="shared" si="12"/>
        <v>12</v>
      </c>
      <c r="N47" s="25">
        <f t="shared" si="12"/>
        <v>13</v>
      </c>
      <c r="O47" s="25">
        <f t="shared" si="12"/>
        <v>14</v>
      </c>
      <c r="P47" s="25">
        <f t="shared" si="12"/>
        <v>15</v>
      </c>
      <c r="Q47" s="25">
        <f t="shared" si="12"/>
        <v>16</v>
      </c>
      <c r="R47" s="25">
        <f t="shared" si="12"/>
        <v>17</v>
      </c>
      <c r="S47" s="25">
        <f t="shared" si="12"/>
        <v>18</v>
      </c>
      <c r="T47" s="25">
        <f t="shared" si="12"/>
        <v>19</v>
      </c>
      <c r="U47" s="25">
        <f t="shared" si="12"/>
        <v>20</v>
      </c>
      <c r="V47" s="25">
        <f t="shared" si="12"/>
        <v>21</v>
      </c>
      <c r="W47" s="25">
        <f t="shared" si="12"/>
        <v>22</v>
      </c>
      <c r="X47" s="25">
        <f t="shared" si="12"/>
        <v>23</v>
      </c>
      <c r="Y47" s="25">
        <f t="shared" si="12"/>
        <v>24</v>
      </c>
      <c r="Z47" s="25">
        <f t="shared" si="12"/>
        <v>25</v>
      </c>
      <c r="AA47" s="25">
        <f t="shared" si="12"/>
        <v>26</v>
      </c>
      <c r="AB47" s="25">
        <f t="shared" si="12"/>
        <v>27</v>
      </c>
      <c r="AC47" s="25">
        <f t="shared" si="12"/>
        <v>28</v>
      </c>
      <c r="AD47" s="25">
        <f t="shared" si="12"/>
        <v>29</v>
      </c>
      <c r="AE47" s="25">
        <f t="shared" si="12"/>
        <v>30</v>
      </c>
      <c r="AF47" s="25">
        <f t="shared" si="12"/>
        <v>31</v>
      </c>
      <c r="AG47" s="25">
        <f t="shared" si="12"/>
        <v>32</v>
      </c>
      <c r="AH47" s="25">
        <f t="shared" si="12"/>
        <v>33</v>
      </c>
      <c r="AI47" s="25">
        <f t="shared" si="12"/>
        <v>34</v>
      </c>
      <c r="AJ47" s="25">
        <f t="shared" si="12"/>
        <v>35</v>
      </c>
      <c r="AK47" s="25">
        <f t="shared" si="12"/>
        <v>36</v>
      </c>
    </row>
    <row r="48" spans="1:37" x14ac:dyDescent="0.25">
      <c r="A48" s="19" t="s">
        <v>7</v>
      </c>
      <c r="B48" s="22">
        <f>B5+B6</f>
        <v>0</v>
      </c>
      <c r="C48" s="22">
        <f t="shared" ref="C48:AK48" si="13">C5+C6</f>
        <v>11500</v>
      </c>
      <c r="D48" s="22">
        <f t="shared" si="13"/>
        <v>25500</v>
      </c>
      <c r="E48" s="22">
        <f t="shared" si="13"/>
        <v>30500</v>
      </c>
      <c r="F48" s="22">
        <f t="shared" si="13"/>
        <v>58500</v>
      </c>
      <c r="G48" s="22">
        <f t="shared" si="13"/>
        <v>68500</v>
      </c>
      <c r="H48" s="22">
        <f t="shared" si="13"/>
        <v>90000</v>
      </c>
      <c r="I48" s="22">
        <f t="shared" si="13"/>
        <v>102500</v>
      </c>
      <c r="J48" s="22">
        <f t="shared" si="13"/>
        <v>126500</v>
      </c>
      <c r="K48" s="22">
        <f t="shared" si="13"/>
        <v>141500</v>
      </c>
      <c r="L48" s="22">
        <f t="shared" si="13"/>
        <v>179500</v>
      </c>
      <c r="M48" s="22">
        <f t="shared" si="13"/>
        <v>199500</v>
      </c>
      <c r="N48" s="22">
        <f t="shared" si="13"/>
        <v>219500</v>
      </c>
      <c r="O48" s="22">
        <f t="shared" si="13"/>
        <v>239000</v>
      </c>
      <c r="P48" s="22">
        <f t="shared" si="13"/>
        <v>281000</v>
      </c>
      <c r="Q48" s="22">
        <f t="shared" si="13"/>
        <v>305000</v>
      </c>
      <c r="R48" s="22">
        <f t="shared" si="13"/>
        <v>328000</v>
      </c>
      <c r="S48" s="22">
        <f t="shared" si="13"/>
        <v>351000</v>
      </c>
      <c r="T48" s="22">
        <f t="shared" si="13"/>
        <v>373500</v>
      </c>
      <c r="U48" s="22">
        <f t="shared" si="13"/>
        <v>396000</v>
      </c>
      <c r="V48" s="22">
        <f t="shared" si="13"/>
        <v>418000</v>
      </c>
      <c r="W48" s="22">
        <f t="shared" si="13"/>
        <v>440000</v>
      </c>
      <c r="X48" s="22">
        <f t="shared" si="13"/>
        <v>461000</v>
      </c>
      <c r="Y48" s="22">
        <f t="shared" si="13"/>
        <v>482000</v>
      </c>
      <c r="Z48" s="22">
        <f t="shared" si="13"/>
        <v>528000</v>
      </c>
      <c r="AA48" s="22">
        <f t="shared" si="13"/>
        <v>555800</v>
      </c>
      <c r="AB48" s="22">
        <f t="shared" si="13"/>
        <v>582900</v>
      </c>
      <c r="AC48" s="22">
        <f t="shared" si="13"/>
        <v>610000</v>
      </c>
      <c r="AD48" s="22">
        <f t="shared" si="13"/>
        <v>671200</v>
      </c>
      <c r="AE48" s="22">
        <f t="shared" si="13"/>
        <v>705400</v>
      </c>
      <c r="AF48" s="22">
        <f t="shared" si="13"/>
        <v>739400</v>
      </c>
      <c r="AG48" s="22">
        <f t="shared" si="13"/>
        <v>773400</v>
      </c>
      <c r="AH48" s="22">
        <f t="shared" si="13"/>
        <v>864700</v>
      </c>
      <c r="AI48" s="22">
        <f t="shared" si="13"/>
        <v>911000</v>
      </c>
      <c r="AJ48" s="22">
        <f t="shared" si="13"/>
        <v>956900</v>
      </c>
      <c r="AK48" s="22">
        <f t="shared" si="13"/>
        <v>1002800</v>
      </c>
    </row>
    <row r="50" spans="1:39" x14ac:dyDescent="0.25">
      <c r="A50" t="s">
        <v>23</v>
      </c>
      <c r="B50" s="1">
        <f>B7+B8+SUM(B17:B20)*$B26</f>
        <v>64500</v>
      </c>
      <c r="C50" s="1">
        <f>C7+C8+SUM(C17:C20)*$B26</f>
        <v>93500</v>
      </c>
      <c r="D50" s="1">
        <f t="shared" ref="D50:AK50" si="14">D7+D8+SUM(D17:D20)*$B26</f>
        <v>98000</v>
      </c>
      <c r="E50" s="1">
        <f t="shared" si="14"/>
        <v>107000</v>
      </c>
      <c r="F50" s="1">
        <f t="shared" si="14"/>
        <v>136000</v>
      </c>
      <c r="G50" s="1">
        <f t="shared" si="14"/>
        <v>140500</v>
      </c>
      <c r="H50" s="1">
        <f t="shared" si="14"/>
        <v>145000</v>
      </c>
      <c r="I50" s="1">
        <f t="shared" si="14"/>
        <v>149500</v>
      </c>
      <c r="J50" s="1">
        <f t="shared" si="14"/>
        <v>164000</v>
      </c>
      <c r="K50" s="1">
        <f t="shared" si="14"/>
        <v>173000</v>
      </c>
      <c r="L50" s="1">
        <f t="shared" si="14"/>
        <v>182000</v>
      </c>
      <c r="M50" s="1">
        <f t="shared" si="14"/>
        <v>182000</v>
      </c>
      <c r="N50" s="1">
        <f t="shared" si="14"/>
        <v>212000</v>
      </c>
      <c r="O50" s="1">
        <f t="shared" si="14"/>
        <v>221000</v>
      </c>
      <c r="P50" s="1">
        <f t="shared" si="14"/>
        <v>240000</v>
      </c>
      <c r="Q50" s="1">
        <f t="shared" si="14"/>
        <v>240000</v>
      </c>
      <c r="R50" s="1">
        <f t="shared" si="14"/>
        <v>240000</v>
      </c>
      <c r="S50" s="1">
        <f t="shared" si="14"/>
        <v>240000</v>
      </c>
      <c r="T50" s="1">
        <f t="shared" si="14"/>
        <v>240000</v>
      </c>
      <c r="U50" s="1">
        <f t="shared" si="14"/>
        <v>250000</v>
      </c>
      <c r="V50" s="1">
        <f t="shared" si="14"/>
        <v>250000</v>
      </c>
      <c r="W50" s="1">
        <f t="shared" si="14"/>
        <v>250000</v>
      </c>
      <c r="X50" s="1">
        <f t="shared" si="14"/>
        <v>250000</v>
      </c>
      <c r="Y50" s="1">
        <f t="shared" si="14"/>
        <v>259000</v>
      </c>
      <c r="Z50" s="1">
        <f t="shared" si="14"/>
        <v>278000</v>
      </c>
      <c r="AA50" s="1">
        <f t="shared" si="14"/>
        <v>288000</v>
      </c>
      <c r="AB50" s="1">
        <f t="shared" si="14"/>
        <v>298000</v>
      </c>
      <c r="AC50" s="1">
        <f t="shared" si="14"/>
        <v>311500</v>
      </c>
      <c r="AD50" s="1">
        <f t="shared" si="14"/>
        <v>335000</v>
      </c>
      <c r="AE50" s="1">
        <f t="shared" si="14"/>
        <v>335000</v>
      </c>
      <c r="AF50" s="1">
        <f t="shared" si="14"/>
        <v>355000</v>
      </c>
      <c r="AG50" s="1">
        <f t="shared" si="14"/>
        <v>377500</v>
      </c>
      <c r="AH50" s="1">
        <f t="shared" si="14"/>
        <v>420000</v>
      </c>
      <c r="AI50" s="1">
        <f t="shared" si="14"/>
        <v>430000</v>
      </c>
      <c r="AJ50" s="1">
        <f t="shared" si="14"/>
        <v>440000</v>
      </c>
      <c r="AK50" s="1">
        <f t="shared" si="14"/>
        <v>450000</v>
      </c>
    </row>
    <row r="51" spans="1:39" x14ac:dyDescent="0.25">
      <c r="A51" t="s">
        <v>73</v>
      </c>
      <c r="B51" s="1">
        <f>$B28*B23</f>
        <v>110000</v>
      </c>
      <c r="C51" s="1">
        <f>$B28*C23</f>
        <v>130000</v>
      </c>
      <c r="D51" s="1">
        <f t="shared" ref="D51:AK51" si="15">$B28*D23</f>
        <v>130000</v>
      </c>
      <c r="E51" s="1">
        <f t="shared" si="15"/>
        <v>130000</v>
      </c>
      <c r="F51" s="1">
        <f t="shared" si="15"/>
        <v>150000</v>
      </c>
      <c r="G51" s="1">
        <f t="shared" si="15"/>
        <v>150000</v>
      </c>
      <c r="H51" s="1">
        <f t="shared" si="15"/>
        <v>160000</v>
      </c>
      <c r="I51" s="1">
        <f t="shared" si="15"/>
        <v>160000</v>
      </c>
      <c r="J51" s="1">
        <f t="shared" si="15"/>
        <v>170000</v>
      </c>
      <c r="K51" s="1">
        <f t="shared" si="15"/>
        <v>170000</v>
      </c>
      <c r="L51" s="1">
        <f t="shared" si="15"/>
        <v>170000</v>
      </c>
      <c r="M51" s="1">
        <f t="shared" si="15"/>
        <v>170000</v>
      </c>
      <c r="N51" s="1">
        <f t="shared" si="15"/>
        <v>220000</v>
      </c>
      <c r="O51" s="1">
        <f t="shared" si="15"/>
        <v>220000</v>
      </c>
      <c r="P51" s="1">
        <f t="shared" si="15"/>
        <v>230000</v>
      </c>
      <c r="Q51" s="1">
        <f t="shared" si="15"/>
        <v>230000</v>
      </c>
      <c r="R51" s="1">
        <f t="shared" si="15"/>
        <v>230000</v>
      </c>
      <c r="S51" s="1">
        <f t="shared" si="15"/>
        <v>230000</v>
      </c>
      <c r="T51" s="1">
        <f t="shared" si="15"/>
        <v>240000</v>
      </c>
      <c r="U51" s="1">
        <f t="shared" si="15"/>
        <v>250000</v>
      </c>
      <c r="V51" s="1">
        <f t="shared" si="15"/>
        <v>250000</v>
      </c>
      <c r="W51" s="1">
        <f t="shared" si="15"/>
        <v>250000</v>
      </c>
      <c r="X51" s="1">
        <f t="shared" si="15"/>
        <v>250000</v>
      </c>
      <c r="Y51" s="1">
        <f t="shared" si="15"/>
        <v>250000</v>
      </c>
      <c r="Z51" s="1">
        <f t="shared" si="15"/>
        <v>260000</v>
      </c>
      <c r="AA51" s="1">
        <f t="shared" si="15"/>
        <v>270000</v>
      </c>
      <c r="AB51" s="1">
        <f t="shared" si="15"/>
        <v>280000</v>
      </c>
      <c r="AC51" s="1">
        <f t="shared" si="15"/>
        <v>280000</v>
      </c>
      <c r="AD51" s="1">
        <f t="shared" si="15"/>
        <v>290000</v>
      </c>
      <c r="AE51" s="1">
        <f t="shared" si="15"/>
        <v>290000</v>
      </c>
      <c r="AF51" s="1">
        <f t="shared" si="15"/>
        <v>320000</v>
      </c>
      <c r="AG51" s="1">
        <f t="shared" si="15"/>
        <v>320000</v>
      </c>
      <c r="AH51" s="1">
        <f t="shared" si="15"/>
        <v>340000</v>
      </c>
      <c r="AI51" s="1">
        <f t="shared" si="15"/>
        <v>350000</v>
      </c>
      <c r="AJ51" s="1">
        <f t="shared" si="15"/>
        <v>360000</v>
      </c>
      <c r="AK51" s="1">
        <f t="shared" si="15"/>
        <v>370000</v>
      </c>
    </row>
    <row r="52" spans="1:39" x14ac:dyDescent="0.25">
      <c r="A52" t="s">
        <v>24</v>
      </c>
      <c r="B52" s="1">
        <f>B21*$B26</f>
        <v>30000</v>
      </c>
      <c r="C52" s="1">
        <f t="shared" ref="C52:AK52" si="16">C21*$B26</f>
        <v>30000</v>
      </c>
      <c r="D52" s="1">
        <f t="shared" si="16"/>
        <v>30000</v>
      </c>
      <c r="E52" s="1">
        <f t="shared" si="16"/>
        <v>30000</v>
      </c>
      <c r="F52" s="1">
        <f t="shared" si="16"/>
        <v>30000</v>
      </c>
      <c r="G52" s="1">
        <f t="shared" si="16"/>
        <v>30000</v>
      </c>
      <c r="H52" s="1">
        <f t="shared" si="16"/>
        <v>30000</v>
      </c>
      <c r="I52" s="1">
        <f t="shared" si="16"/>
        <v>30000</v>
      </c>
      <c r="J52" s="1">
        <f t="shared" si="16"/>
        <v>30000</v>
      </c>
      <c r="K52" s="1">
        <f t="shared" si="16"/>
        <v>30000</v>
      </c>
      <c r="L52" s="1">
        <f t="shared" si="16"/>
        <v>30000</v>
      </c>
      <c r="M52" s="1">
        <f t="shared" si="16"/>
        <v>30000</v>
      </c>
      <c r="N52" s="1">
        <f t="shared" si="16"/>
        <v>50000</v>
      </c>
      <c r="O52" s="1">
        <f t="shared" si="16"/>
        <v>50000</v>
      </c>
      <c r="P52" s="1">
        <f t="shared" si="16"/>
        <v>50000</v>
      </c>
      <c r="Q52" s="1">
        <f t="shared" si="16"/>
        <v>50000</v>
      </c>
      <c r="R52" s="1">
        <f t="shared" si="16"/>
        <v>50000</v>
      </c>
      <c r="S52" s="1">
        <f t="shared" si="16"/>
        <v>50000</v>
      </c>
      <c r="T52" s="1">
        <f t="shared" si="16"/>
        <v>50000</v>
      </c>
      <c r="U52" s="1">
        <f t="shared" si="16"/>
        <v>50000</v>
      </c>
      <c r="V52" s="1">
        <f t="shared" si="16"/>
        <v>50000</v>
      </c>
      <c r="W52" s="1">
        <f t="shared" si="16"/>
        <v>50000</v>
      </c>
      <c r="X52" s="1">
        <f t="shared" si="16"/>
        <v>50000</v>
      </c>
      <c r="Y52" s="1">
        <f t="shared" si="16"/>
        <v>50000</v>
      </c>
      <c r="Z52" s="1">
        <f t="shared" si="16"/>
        <v>50000</v>
      </c>
      <c r="AA52" s="1">
        <f t="shared" si="16"/>
        <v>50000</v>
      </c>
      <c r="AB52" s="1">
        <f t="shared" si="16"/>
        <v>50000</v>
      </c>
      <c r="AC52" s="1">
        <f t="shared" si="16"/>
        <v>50000</v>
      </c>
      <c r="AD52" s="1">
        <f t="shared" si="16"/>
        <v>50000</v>
      </c>
      <c r="AE52" s="1">
        <f t="shared" si="16"/>
        <v>50000</v>
      </c>
      <c r="AF52" s="1">
        <f t="shared" si="16"/>
        <v>50000</v>
      </c>
      <c r="AG52" s="1">
        <f t="shared" si="16"/>
        <v>50000</v>
      </c>
      <c r="AH52" s="1">
        <f t="shared" si="16"/>
        <v>50000</v>
      </c>
      <c r="AI52" s="1">
        <f t="shared" si="16"/>
        <v>50000</v>
      </c>
      <c r="AJ52" s="1">
        <f t="shared" si="16"/>
        <v>50000</v>
      </c>
      <c r="AK52" s="1">
        <f t="shared" si="16"/>
        <v>50000</v>
      </c>
    </row>
    <row r="53" spans="1:39" x14ac:dyDescent="0.25">
      <c r="A53" s="23" t="s">
        <v>13</v>
      </c>
      <c r="B53" s="26">
        <f>B22*$B26*(1+$B27)</f>
        <v>25000</v>
      </c>
      <c r="C53" s="26">
        <f t="shared" ref="C53:AK53" si="17">C22*$B26*(1+$B27)</f>
        <v>25000</v>
      </c>
      <c r="D53" s="26">
        <f t="shared" si="17"/>
        <v>25000</v>
      </c>
      <c r="E53" s="26">
        <f t="shared" si="17"/>
        <v>25000</v>
      </c>
      <c r="F53" s="26">
        <f t="shared" si="17"/>
        <v>25000</v>
      </c>
      <c r="G53" s="26">
        <f t="shared" si="17"/>
        <v>25000</v>
      </c>
      <c r="H53" s="26">
        <f t="shared" si="17"/>
        <v>37500</v>
      </c>
      <c r="I53" s="26">
        <f t="shared" si="17"/>
        <v>37500</v>
      </c>
      <c r="J53" s="26">
        <f t="shared" si="17"/>
        <v>37500</v>
      </c>
      <c r="K53" s="26">
        <f t="shared" si="17"/>
        <v>37500</v>
      </c>
      <c r="L53" s="26">
        <f t="shared" si="17"/>
        <v>37500</v>
      </c>
      <c r="M53" s="26">
        <f t="shared" si="17"/>
        <v>37500</v>
      </c>
      <c r="N53" s="26">
        <f t="shared" si="17"/>
        <v>37500</v>
      </c>
      <c r="O53" s="26">
        <f t="shared" si="17"/>
        <v>37500</v>
      </c>
      <c r="P53" s="26">
        <f t="shared" si="17"/>
        <v>37500</v>
      </c>
      <c r="Q53" s="26">
        <f t="shared" si="17"/>
        <v>37500</v>
      </c>
      <c r="R53" s="26">
        <f t="shared" si="17"/>
        <v>37500</v>
      </c>
      <c r="S53" s="26">
        <f t="shared" si="17"/>
        <v>37500</v>
      </c>
      <c r="T53" s="26">
        <f t="shared" si="17"/>
        <v>50000</v>
      </c>
      <c r="U53" s="26">
        <f t="shared" si="17"/>
        <v>50000</v>
      </c>
      <c r="V53" s="26">
        <f t="shared" si="17"/>
        <v>50000</v>
      </c>
      <c r="W53" s="26">
        <f t="shared" si="17"/>
        <v>50000</v>
      </c>
      <c r="X53" s="26">
        <f t="shared" si="17"/>
        <v>50000</v>
      </c>
      <c r="Y53" s="26">
        <f t="shared" si="17"/>
        <v>50000</v>
      </c>
      <c r="Z53" s="26">
        <f t="shared" si="17"/>
        <v>50000</v>
      </c>
      <c r="AA53" s="26">
        <f t="shared" si="17"/>
        <v>50000</v>
      </c>
      <c r="AB53" s="26">
        <f t="shared" si="17"/>
        <v>50000</v>
      </c>
      <c r="AC53" s="26">
        <f t="shared" si="17"/>
        <v>50000</v>
      </c>
      <c r="AD53" s="26">
        <f t="shared" si="17"/>
        <v>50000</v>
      </c>
      <c r="AE53" s="26">
        <f t="shared" si="17"/>
        <v>50000</v>
      </c>
      <c r="AF53" s="26">
        <f t="shared" si="17"/>
        <v>62500</v>
      </c>
      <c r="AG53" s="26">
        <f t="shared" si="17"/>
        <v>62500</v>
      </c>
      <c r="AH53" s="26">
        <f t="shared" si="17"/>
        <v>62500</v>
      </c>
      <c r="AI53" s="26">
        <f t="shared" si="17"/>
        <v>62500</v>
      </c>
      <c r="AJ53" s="26">
        <f t="shared" si="17"/>
        <v>62500</v>
      </c>
      <c r="AK53" s="26">
        <f t="shared" si="17"/>
        <v>62500</v>
      </c>
      <c r="AL53" s="1"/>
      <c r="AM53" s="1"/>
    </row>
    <row r="54" spans="1:39" x14ac:dyDescent="0.25">
      <c r="A54" s="19" t="s">
        <v>25</v>
      </c>
      <c r="B54" s="1">
        <f>SUM(B50:B53)</f>
        <v>229500</v>
      </c>
      <c r="C54" s="1">
        <f t="shared" ref="C54:AK54" si="18">SUM(C50:C53)</f>
        <v>278500</v>
      </c>
      <c r="D54" s="1">
        <f t="shared" si="18"/>
        <v>283000</v>
      </c>
      <c r="E54" s="1">
        <f t="shared" si="18"/>
        <v>292000</v>
      </c>
      <c r="F54" s="1">
        <f t="shared" si="18"/>
        <v>341000</v>
      </c>
      <c r="G54" s="1">
        <f t="shared" si="18"/>
        <v>345500</v>
      </c>
      <c r="H54" s="1">
        <f t="shared" si="18"/>
        <v>372500</v>
      </c>
      <c r="I54" s="1">
        <f t="shared" si="18"/>
        <v>377000</v>
      </c>
      <c r="J54" s="1">
        <f t="shared" si="18"/>
        <v>401500</v>
      </c>
      <c r="K54" s="1">
        <f t="shared" si="18"/>
        <v>410500</v>
      </c>
      <c r="L54" s="1">
        <f t="shared" si="18"/>
        <v>419500</v>
      </c>
      <c r="M54" s="1">
        <f t="shared" si="18"/>
        <v>419500</v>
      </c>
      <c r="N54" s="1">
        <f t="shared" si="18"/>
        <v>519500</v>
      </c>
      <c r="O54" s="1">
        <f t="shared" si="18"/>
        <v>528500</v>
      </c>
      <c r="P54" s="1">
        <f t="shared" si="18"/>
        <v>557500</v>
      </c>
      <c r="Q54" s="1">
        <f t="shared" si="18"/>
        <v>557500</v>
      </c>
      <c r="R54" s="1">
        <f t="shared" si="18"/>
        <v>557500</v>
      </c>
      <c r="S54" s="1">
        <f t="shared" si="18"/>
        <v>557500</v>
      </c>
      <c r="T54" s="1">
        <f t="shared" si="18"/>
        <v>580000</v>
      </c>
      <c r="U54" s="1">
        <f t="shared" si="18"/>
        <v>600000</v>
      </c>
      <c r="V54" s="1">
        <f t="shared" si="18"/>
        <v>600000</v>
      </c>
      <c r="W54" s="1">
        <f t="shared" si="18"/>
        <v>600000</v>
      </c>
      <c r="X54" s="1">
        <f t="shared" si="18"/>
        <v>600000</v>
      </c>
      <c r="Y54" s="1">
        <f t="shared" si="18"/>
        <v>609000</v>
      </c>
      <c r="Z54" s="1">
        <f t="shared" si="18"/>
        <v>638000</v>
      </c>
      <c r="AA54" s="1">
        <f t="shared" si="18"/>
        <v>658000</v>
      </c>
      <c r="AB54" s="1">
        <f t="shared" si="18"/>
        <v>678000</v>
      </c>
      <c r="AC54" s="1">
        <f t="shared" si="18"/>
        <v>691500</v>
      </c>
      <c r="AD54" s="1">
        <f t="shared" si="18"/>
        <v>725000</v>
      </c>
      <c r="AE54" s="1">
        <f t="shared" si="18"/>
        <v>725000</v>
      </c>
      <c r="AF54" s="1">
        <f t="shared" si="18"/>
        <v>787500</v>
      </c>
      <c r="AG54" s="1">
        <f t="shared" si="18"/>
        <v>810000</v>
      </c>
      <c r="AH54" s="1">
        <f t="shared" si="18"/>
        <v>872500</v>
      </c>
      <c r="AI54" s="1">
        <f t="shared" si="18"/>
        <v>892500</v>
      </c>
      <c r="AJ54" s="1">
        <f t="shared" si="18"/>
        <v>912500</v>
      </c>
      <c r="AK54" s="1">
        <f t="shared" si="18"/>
        <v>932500</v>
      </c>
    </row>
    <row r="56" spans="1:39" x14ac:dyDescent="0.25">
      <c r="A56" s="19" t="s">
        <v>43</v>
      </c>
      <c r="B56" s="1">
        <f>B48-B54</f>
        <v>-229500</v>
      </c>
      <c r="C56" s="1">
        <f t="shared" ref="C56:AK56" si="19">C48-C54</f>
        <v>-267000</v>
      </c>
      <c r="D56" s="1">
        <f t="shared" si="19"/>
        <v>-257500</v>
      </c>
      <c r="E56" s="1">
        <f t="shared" si="19"/>
        <v>-261500</v>
      </c>
      <c r="F56" s="1">
        <f t="shared" si="19"/>
        <v>-282500</v>
      </c>
      <c r="G56" s="1">
        <f t="shared" si="19"/>
        <v>-277000</v>
      </c>
      <c r="H56" s="1">
        <f t="shared" si="19"/>
        <v>-282500</v>
      </c>
      <c r="I56" s="1">
        <f t="shared" si="19"/>
        <v>-274500</v>
      </c>
      <c r="J56" s="1">
        <f t="shared" si="19"/>
        <v>-275000</v>
      </c>
      <c r="K56" s="1">
        <f t="shared" si="19"/>
        <v>-269000</v>
      </c>
      <c r="L56" s="1">
        <f t="shared" si="19"/>
        <v>-240000</v>
      </c>
      <c r="M56" s="1">
        <f t="shared" si="19"/>
        <v>-220000</v>
      </c>
      <c r="N56" s="1">
        <f t="shared" si="19"/>
        <v>-300000</v>
      </c>
      <c r="O56" s="1">
        <f t="shared" si="19"/>
        <v>-289500</v>
      </c>
      <c r="P56" s="1">
        <f t="shared" si="19"/>
        <v>-276500</v>
      </c>
      <c r="Q56" s="1">
        <f t="shared" si="19"/>
        <v>-252500</v>
      </c>
      <c r="R56" s="1">
        <f t="shared" si="19"/>
        <v>-229500</v>
      </c>
      <c r="S56" s="1">
        <f t="shared" si="19"/>
        <v>-206500</v>
      </c>
      <c r="T56" s="1">
        <f t="shared" si="19"/>
        <v>-206500</v>
      </c>
      <c r="U56" s="1">
        <f t="shared" si="19"/>
        <v>-204000</v>
      </c>
      <c r="V56" s="1">
        <f t="shared" si="19"/>
        <v>-182000</v>
      </c>
      <c r="W56" s="1">
        <f t="shared" si="19"/>
        <v>-160000</v>
      </c>
      <c r="X56" s="1">
        <f t="shared" si="19"/>
        <v>-139000</v>
      </c>
      <c r="Y56" s="1">
        <f t="shared" si="19"/>
        <v>-127000</v>
      </c>
      <c r="Z56" s="1">
        <f t="shared" si="19"/>
        <v>-110000</v>
      </c>
      <c r="AA56" s="1">
        <f t="shared" si="19"/>
        <v>-102200</v>
      </c>
      <c r="AB56" s="1">
        <f t="shared" si="19"/>
        <v>-95100</v>
      </c>
      <c r="AC56" s="1">
        <f t="shared" si="19"/>
        <v>-81500</v>
      </c>
      <c r="AD56" s="1">
        <f t="shared" si="19"/>
        <v>-53800</v>
      </c>
      <c r="AE56" s="1">
        <f t="shared" si="19"/>
        <v>-19600</v>
      </c>
      <c r="AF56" s="1">
        <f t="shared" si="19"/>
        <v>-48100</v>
      </c>
      <c r="AG56" s="1">
        <f t="shared" si="19"/>
        <v>-36600</v>
      </c>
      <c r="AH56" s="1">
        <f t="shared" si="19"/>
        <v>-7800</v>
      </c>
      <c r="AI56" s="1">
        <f t="shared" si="19"/>
        <v>18500</v>
      </c>
      <c r="AJ56" s="1">
        <f t="shared" si="19"/>
        <v>44400</v>
      </c>
      <c r="AK56" s="1">
        <f t="shared" si="19"/>
        <v>70300</v>
      </c>
    </row>
    <row r="57" spans="1:39" x14ac:dyDescent="0.25"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</row>
    <row r="58" spans="1:39" x14ac:dyDescent="0.25">
      <c r="A58" t="s">
        <v>42</v>
      </c>
      <c r="B58" s="22">
        <f>B56</f>
        <v>-229500</v>
      </c>
      <c r="C58" s="22">
        <f>B58+C56</f>
        <v>-496500</v>
      </c>
      <c r="D58" s="22">
        <f t="shared" ref="D58:AK58" si="20">C58+D56</f>
        <v>-754000</v>
      </c>
      <c r="E58" s="22">
        <f t="shared" si="20"/>
        <v>-1015500</v>
      </c>
      <c r="F58" s="22">
        <f t="shared" si="20"/>
        <v>-1298000</v>
      </c>
      <c r="G58" s="22">
        <f t="shared" si="20"/>
        <v>-1575000</v>
      </c>
      <c r="H58" s="22">
        <f t="shared" si="20"/>
        <v>-1857500</v>
      </c>
      <c r="I58" s="22">
        <f t="shared" si="20"/>
        <v>-2132000</v>
      </c>
      <c r="J58" s="22">
        <f t="shared" si="20"/>
        <v>-2407000</v>
      </c>
      <c r="K58" s="22">
        <f t="shared" si="20"/>
        <v>-2676000</v>
      </c>
      <c r="L58" s="22">
        <f t="shared" si="20"/>
        <v>-2916000</v>
      </c>
      <c r="M58" s="22">
        <f t="shared" si="20"/>
        <v>-3136000</v>
      </c>
      <c r="N58" s="22">
        <f t="shared" si="20"/>
        <v>-3436000</v>
      </c>
      <c r="O58" s="22">
        <f t="shared" si="20"/>
        <v>-3725500</v>
      </c>
      <c r="P58" s="22">
        <f t="shared" si="20"/>
        <v>-4002000</v>
      </c>
      <c r="Q58" s="22">
        <f t="shared" si="20"/>
        <v>-4254500</v>
      </c>
      <c r="R58" s="22">
        <f t="shared" si="20"/>
        <v>-4484000</v>
      </c>
      <c r="S58" s="22">
        <f t="shared" si="20"/>
        <v>-4690500</v>
      </c>
      <c r="T58" s="22">
        <f t="shared" si="20"/>
        <v>-4897000</v>
      </c>
      <c r="U58" s="22">
        <f t="shared" si="20"/>
        <v>-5101000</v>
      </c>
      <c r="V58" s="22">
        <f t="shared" si="20"/>
        <v>-5283000</v>
      </c>
      <c r="W58" s="22">
        <f t="shared" si="20"/>
        <v>-5443000</v>
      </c>
      <c r="X58" s="22">
        <f t="shared" si="20"/>
        <v>-5582000</v>
      </c>
      <c r="Y58" s="22">
        <f t="shared" si="20"/>
        <v>-5709000</v>
      </c>
      <c r="Z58" s="22">
        <f t="shared" si="20"/>
        <v>-5819000</v>
      </c>
      <c r="AA58" s="22">
        <f t="shared" si="20"/>
        <v>-5921200</v>
      </c>
      <c r="AB58" s="22">
        <f t="shared" si="20"/>
        <v>-6016300</v>
      </c>
      <c r="AC58" s="22">
        <f t="shared" si="20"/>
        <v>-6097800</v>
      </c>
      <c r="AD58" s="22">
        <f t="shared" si="20"/>
        <v>-6151600</v>
      </c>
      <c r="AE58" s="22">
        <f t="shared" si="20"/>
        <v>-6171200</v>
      </c>
      <c r="AF58" s="22">
        <f t="shared" si="20"/>
        <v>-6219300</v>
      </c>
      <c r="AG58" s="22">
        <f t="shared" si="20"/>
        <v>-6255900</v>
      </c>
      <c r="AH58" s="22">
        <f t="shared" si="20"/>
        <v>-6263700</v>
      </c>
      <c r="AI58" s="22">
        <f t="shared" si="20"/>
        <v>-6245200</v>
      </c>
      <c r="AJ58" s="22">
        <f t="shared" si="20"/>
        <v>-6200800</v>
      </c>
      <c r="AK58" s="22">
        <f t="shared" si="20"/>
        <v>-6130500</v>
      </c>
    </row>
    <row r="59" spans="1:39" x14ac:dyDescent="0.25">
      <c r="B59" s="22"/>
    </row>
  </sheetData>
  <mergeCells count="1">
    <mergeCell ref="G32:K3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 model</vt:lpstr>
      <vt:lpstr>P&amp;L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Arik Paran</dc:creator>
  <cp:lastModifiedBy>Arik Paran</cp:lastModifiedBy>
  <dcterms:created xsi:type="dcterms:W3CDTF">2022-01-06T20:52:32Z</dcterms:created>
  <dcterms:modified xsi:type="dcterms:W3CDTF">2025-06-16T21:36:11Z</dcterms:modified>
</cp:coreProperties>
</file>